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f17a6c485241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ta Gantt" sheetId="1" r:id="R326ef843526a4643"/>
    <x:sheet xmlns:r="http://schemas.openxmlformats.org/officeDocument/2006/relationships" name="Seguimiento" sheetId="2" r:id="R1a438198952d4806"/>
    <x:sheet xmlns:r="http://schemas.openxmlformats.org/officeDocument/2006/relationships" name="Criterios" sheetId="3" r:id="R604f94c9510649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"/>
    <x:numFmt numFmtId="201" formatCode="dd/mm/yyyy"/>
  </x:numFmts>
  <x:fonts count="6">
    <x:font>
      <x:sz val="11"/>
      <x:name val="Carlito"/>
    </x:font>
    <x:font>
      <x:sz val="10"/>
      <x:color rgb="FF111827"/>
      <x:name val="Arial"/>
    </x:font>
    <x:font>
      <x:b/>
      <x:sz val="15"/>
      <x:color rgb="FF111827"/>
      <x:name val="Arial"/>
    </x:font>
    <x:font>
      <x:sz val="10"/>
      <x:color rgb="FF4B5563"/>
      <x:name val="Arial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5"/>
      </x:patternFill>
    </x:fill>
    <x:fill>
      <x:patternFill patternType="solid">
        <x:fgColor rgb="FFF1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200" fontId="5" fillId="2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201" fontId="4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547AA5"/>
      </x:font>
      <x:fill>
        <x:patternFill patternType="solid">
          <x:bgColor rgb="FF547AA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fa8b256203464b" /><Relationship Type="http://schemas.openxmlformats.org/officeDocument/2006/relationships/theme" Target="/xl/theme/theme1.xml" Id="R3979e59fe6a046be" /><Relationship Type="http://schemas.openxmlformats.org/officeDocument/2006/relationships/sharedStrings" Target="/xl/sharedStrings.xml" Id="R75202835f9904384" /><Relationship Type="http://schemas.openxmlformats.org/officeDocument/2006/relationships/worksheet" Target="/xl/worksheets/sheet1.xml" Id="R326ef843526a4643" /><Relationship Type="http://schemas.openxmlformats.org/officeDocument/2006/relationships/worksheet" Target="/xl/worksheets/sheet2.xml" Id="R1a438198952d4806" /><Relationship Type="http://schemas.openxmlformats.org/officeDocument/2006/relationships/worksheet" Target="/xl/worksheets/sheet3.xml" Id="R604f94c9510649a4" /></Relationships>
</file>

<file path=xl/tables/table1.xml><?xml version="1.0" encoding="utf-8"?>
<x:table xmlns:x="http://schemas.openxmlformats.org/spreadsheetml/2006/main" id="1" name="Twfb6au7n" displayName="Twfb6au7n" ref="A5:K23" headerRowCount="1" totalsRowCount="0" totalsRowShown="0">
  <x:tableColumns count="11">
    <x:tableColumn id="1" name="Semana"/>
    <x:tableColumn id="2" name="Fecha Inicio"/>
    <x:tableColumn id="3" name="Fecha Fin (Viernes)"/>
    <x:tableColumn id="4" name="Fase"/>
    <x:tableColumn id="5" name="Actividad Principal"/>
    <x:tableColumn id="6" name="Estado al 19/10/2026"/>
    <x:tableColumn id="7" name="Responsable planificado (propuesto)"/>
    <x:tableColumn id="8" name="Trabajo comprobado y limitaciones"/>
    <x:tableColumn id="9" name="Ajuste propuesto (sin fecha aprobada)"/>
    <x:tableColumn id="10" name="Situacion del plazo original"/>
    <x:tableColumn id="11" name="Fecha de cor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mjavg3oj" displayName="Tmjavg3oj" ref="A5:B11" headerRowCount="1" totalsRowCount="0" totalsRowShown="0">
  <x:tableColumns count="2">
    <x:tableColumn id="1" name="Concepto"/>
    <x:tableColumn id="2" name="Criter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80e65103cd49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e71c45445b4c0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56" hidden="0" customWidth="1"/>
    <x:col min="3" max="3" width="25" hidden="0" customWidth="1"/>
    <x:col min="4" max="4" width="25" hidden="0" customWidth="1"/>
    <x:col min="5" max="5" width="15" hidden="0" customWidth="1"/>
    <x:col min="6" max="6" width="15" hidden="0" customWidth="1"/>
    <x:col min="7" max="7" width="16" hidden="0" customWidth="1"/>
    <x:col min="8" max="8" width="60" hidden="0" customWidth="1"/>
    <x:col min="9" max="9" width="40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</x:row>
    <x:row r="2" ht="28" customHeight="1">
      <x:c r="A2" s="2" t="str">
        <x:v>Carta Gantt de BraxRecicla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</x:row>
    <x:row r="3" ht="22" customHeight="1">
      <x:c r="A3" s="3" t="str">
        <x:v>Línea base: 14/08 a 18/12/2026. Responsables propuestos; avance porcentual sin estimar.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</x:row>
    <x:row r="5" ht="44" customHeight="1">
      <x:c r="A5" s="8" t="str">
        <x:v>Semana</x:v>
      </x:c>
      <x:c r="B5" s="8" t="str">
        <x:v>Actividad</x:v>
      </x:c>
      <x:c r="C5" s="8" t="str">
        <x:v>Fase</x:v>
      </x:c>
      <x:c r="D5" s="8" t="str">
        <x:v>Responsable propuesto</x:v>
      </x:c>
      <x:c r="E5" s="8" t="str">
        <x:v>Inicio original</x:v>
      </x:c>
      <x:c r="F5" s="8" t="str">
        <x:v>Fin original</x:v>
      </x:c>
      <x:c r="G5" s="8" t="str">
        <x:v>Duración días</x:v>
      </x:c>
      <x:c r="H5" s="8" t="str">
        <x:v>Estado al corte</x:v>
      </x:c>
      <x:c r="I5" s="8" t="str">
        <x:v>Plazo original</x:v>
      </x:c>
      <x:c r="J5" s="9" t="d">
        <x:v>2026-08-14T00:00:00.000Z</x:v>
      </x:c>
      <x:c r="K5" s="9" t="d">
        <x:v>2026-08-21T00:00:00.000Z</x:v>
      </x:c>
      <x:c r="L5" s="9" t="d">
        <x:v>2026-08-28T00:00:00.000Z</x:v>
      </x:c>
      <x:c r="M5" s="9" t="d">
        <x:v>2026-09-04T00:00:00.000Z</x:v>
      </x:c>
      <x:c r="N5" s="9" t="d">
        <x:v>2026-09-11T00:00:00.000Z</x:v>
      </x:c>
      <x:c r="O5" s="9" t="d">
        <x:v>2026-09-18T00:00:00.000Z</x:v>
      </x:c>
      <x:c r="P5" s="9" t="d">
        <x:v>2026-09-25T00:00:00.000Z</x:v>
      </x:c>
      <x:c r="Q5" s="9" t="d">
        <x:v>2026-10-02T00:00:00.000Z</x:v>
      </x:c>
      <x:c r="R5" s="9" t="d">
        <x:v>2026-10-09T00:00:00.000Z</x:v>
      </x:c>
      <x:c r="S5" s="9" t="d">
        <x:v>2026-10-16T00:00:00.000Z</x:v>
      </x:c>
      <x:c r="T5" s="9" t="d">
        <x:v>2026-10-23T00:00:00.000Z</x:v>
      </x:c>
      <x:c r="U5" s="9" t="d">
        <x:v>2026-10-30T00:00:00.000Z</x:v>
      </x:c>
      <x:c r="V5" s="9" t="d">
        <x:v>2026-11-06T00:00:00.000Z</x:v>
      </x:c>
      <x:c r="W5" s="9" t="d">
        <x:v>2026-11-13T00:00:00.000Z</x:v>
      </x:c>
      <x:c r="X5" s="9" t="d">
        <x:v>2026-11-20T00:00:00.000Z</x:v>
      </x:c>
      <x:c r="Y5" s="9" t="d">
        <x:v>2026-11-27T00:00:00.000Z</x:v>
      </x:c>
      <x:c r="Z5" s="9" t="d">
        <x:v>2026-12-04T00:00:00.000Z</x:v>
      </x:c>
      <x:c r="AA5" s="9" t="d">
        <x:v>2026-12-11T00:00:00.000Z</x:v>
      </x:c>
    </x:row>
    <x:row r="6" ht="78" customHeight="1">
      <x:c r="A6" s="6" t="str">
        <x:v>Semana 1</x:v>
      </x:c>
      <x:c r="B6" s="6" t="str">
        <x:v>Levantamiento de Requisitos y Diseño UI/UX</x:v>
      </x:c>
      <x:c r="C6" s="6" t="str">
        <x:v>Fase 1: Plataforma Web</x:v>
      </x:c>
      <x:c r="D6" s="6" t="str">
        <x:v>Dante Allendes</x:v>
      </x:c>
      <x:c r="E6" s="10" t="d">
        <x:v>2026-08-14T00:00:00.000Z</x:v>
      </x:c>
      <x:c r="F6" s="10" t="d">
        <x:v>2026-08-21T00:00:00.000Z</x:v>
      </x:c>
      <x:c r="G6" s="6" t="n">
        <x:f>F6-E6</x:f>
        <x:v>7</x:v>
      </x:c>
      <x:c r="H6" s="6" t="str">
        <x:v>Parcial; aceptación de requisitos no documentada</x:v>
      </x:c>
      <x:c r="I6" s="6" t="str">
        <x:v>Plazo original vencido; aceptación no acreditada</x:v>
      </x:c>
      <x:c r="J6" s="6" t="n">
        <x:f>IF(AND(J$5&gt;=$E6,J$5&lt;$F6),1,"")</x:f>
        <x:v>1</x:v>
      </x:c>
      <x:c r="K6" s="6" t="str">
        <x:f>IF(AND(K$5&gt;=$E6,K$5&lt;$F6),1,"")</x:f>
      </x:c>
      <x:c r="L6" s="6" t="str">
        <x:f>IF(AND(L$5&gt;=$E6,L$5&lt;$F6),1,"")</x:f>
      </x:c>
      <x:c r="M6" s="6" t="str">
        <x:f>IF(AND(M$5&gt;=$E6,M$5&lt;$F6),1,"")</x:f>
      </x:c>
      <x:c r="N6" s="6" t="str">
        <x:f>IF(AND(N$5&gt;=$E6,N$5&lt;$F6),1,"")</x:f>
      </x:c>
      <x:c r="O6" s="6" t="str">
        <x:f>IF(AND(O$5&gt;=$E6,O$5&lt;$F6),1,"")</x:f>
      </x:c>
      <x:c r="P6" s="6" t="str">
        <x:f>IF(AND(P$5&gt;=$E6,P$5&lt;$F6),1,"")</x:f>
      </x:c>
      <x:c r="Q6" s="6" t="str">
        <x:f>IF(AND(Q$5&gt;=$E6,Q$5&lt;$F6),1,"")</x:f>
      </x:c>
      <x:c r="R6" s="6" t="str">
        <x:f>IF(AND(R$5&gt;=$E6,R$5&lt;$F6),1,"")</x:f>
      </x:c>
      <x:c r="S6" s="6" t="str">
        <x:f>IF(AND(S$5&gt;=$E6,S$5&lt;$F6),1,"")</x:f>
      </x:c>
      <x:c r="T6" s="6" t="str">
        <x:f>IF(AND(T$5&gt;=$E6,T$5&lt;$F6),1,"")</x:f>
      </x:c>
      <x:c r="U6" s="6" t="str">
        <x:f>IF(AND(U$5&gt;=$E6,U$5&lt;$F6),1,"")</x:f>
      </x:c>
      <x:c r="V6" s="6" t="str">
        <x:f>IF(AND(V$5&gt;=$E6,V$5&lt;$F6),1,"")</x:f>
      </x:c>
      <x:c r="W6" s="6" t="str">
        <x:f>IF(AND(W$5&gt;=$E6,W$5&lt;$F6),1,"")</x:f>
      </x:c>
      <x:c r="X6" s="6" t="str">
        <x:f>IF(AND(X$5&gt;=$E6,X$5&lt;$F6),1,"")</x:f>
      </x:c>
      <x:c r="Y6" s="6" t="str">
        <x:f>IF(AND(Y$5&gt;=$E6,Y$5&lt;$F6),1,"")</x:f>
      </x:c>
      <x:c r="Z6" s="6" t="str">
        <x:f>IF(AND(Z$5&gt;=$E6,Z$5&lt;$F6),1,"")</x:f>
      </x:c>
      <x:c r="AA6" s="6" t="str">
        <x:f>IF(AND(AA$5&gt;=$E6,AA$5&lt;$F6),1,"")</x:f>
      </x:c>
    </x:row>
    <x:row r="7" ht="78" customHeight="1">
      <x:c r="A7" s="11" t="str">
        <x:v>Semana 2</x:v>
      </x:c>
      <x:c r="B7" s="11" t="str">
        <x:v>Configuración de Base de Datos (PostgreSQL/Supabase)</x:v>
      </x:c>
      <x:c r="C7" s="11" t="str">
        <x:v>Fase 1: Plataforma Web</x:v>
      </x:c>
      <x:c r="D7" s="11" t="str">
        <x:v>Alejandro Fuentes</x:v>
      </x:c>
      <x:c r="E7" s="12" t="d">
        <x:v>2026-08-21T00:00:00.000Z</x:v>
      </x:c>
      <x:c r="F7" s="12" t="d">
        <x:v>2026-08-28T00:00:00.000Z</x:v>
      </x:c>
      <x:c r="G7" s="11" t="n">
        <x:f>F7-E7</x:f>
        <x:v>7</x:v>
      </x:c>
      <x:c r="H7" s="11" t="str">
        <x:v>Implementada en SQL; bloqueada para validación real</x:v>
      </x:c>
      <x:c r="I7" s="11" t="str">
        <x:v>Plazo original vencido; aceptación no acreditada</x:v>
      </x:c>
      <x:c r="J7" s="6" t="str">
        <x:f>IF(AND(J$5&gt;=$E7,J$5&lt;$F7),1,"")</x:f>
      </x:c>
      <x:c r="K7" s="6" t="n">
        <x:f>IF(AND(K$5&gt;=$E7,K$5&lt;$F7),1,"")</x:f>
        <x:v>1</x:v>
      </x:c>
      <x:c r="L7" s="6" t="str">
        <x:f>IF(AND(L$5&gt;=$E7,L$5&lt;$F7),1,"")</x:f>
      </x:c>
      <x:c r="M7" s="6" t="str">
        <x:f>IF(AND(M$5&gt;=$E7,M$5&lt;$F7),1,"")</x:f>
      </x:c>
      <x:c r="N7" s="6" t="str">
        <x:f>IF(AND(N$5&gt;=$E7,N$5&lt;$F7),1,"")</x:f>
      </x:c>
      <x:c r="O7" s="6" t="str">
        <x:f>IF(AND(O$5&gt;=$E7,O$5&lt;$F7),1,"")</x:f>
      </x:c>
      <x:c r="P7" s="6" t="str">
        <x:f>IF(AND(P$5&gt;=$E7,P$5&lt;$F7),1,"")</x:f>
      </x:c>
      <x:c r="Q7" s="6" t="str">
        <x:f>IF(AND(Q$5&gt;=$E7,Q$5&lt;$F7),1,"")</x:f>
      </x:c>
      <x:c r="R7" s="6" t="str">
        <x:f>IF(AND(R$5&gt;=$E7,R$5&lt;$F7),1,"")</x:f>
      </x:c>
      <x:c r="S7" s="6" t="str">
        <x:f>IF(AND(S$5&gt;=$E7,S$5&lt;$F7),1,"")</x:f>
      </x:c>
      <x:c r="T7" s="6" t="str">
        <x:f>IF(AND(T$5&gt;=$E7,T$5&lt;$F7),1,"")</x:f>
      </x:c>
      <x:c r="U7" s="6" t="str">
        <x:f>IF(AND(U$5&gt;=$E7,U$5&lt;$F7),1,"")</x:f>
      </x:c>
      <x:c r="V7" s="6" t="str">
        <x:f>IF(AND(V$5&gt;=$E7,V$5&lt;$F7),1,"")</x:f>
      </x:c>
      <x:c r="W7" s="6" t="str">
        <x:f>IF(AND(W$5&gt;=$E7,W$5&lt;$F7),1,"")</x:f>
      </x:c>
      <x:c r="X7" s="6" t="str">
        <x:f>IF(AND(X$5&gt;=$E7,X$5&lt;$F7),1,"")</x:f>
      </x:c>
      <x:c r="Y7" s="6" t="str">
        <x:f>IF(AND(Y$5&gt;=$E7,Y$5&lt;$F7),1,"")</x:f>
      </x:c>
      <x:c r="Z7" s="6" t="str">
        <x:f>IF(AND(Z$5&gt;=$E7,Z$5&lt;$F7),1,"")</x:f>
      </x:c>
      <x:c r="AA7" s="6" t="str">
        <x:f>IF(AND(AA$5&gt;=$E7,AA$5&lt;$F7),1,"")</x:f>
      </x:c>
    </x:row>
    <x:row r="8" ht="78" customHeight="1">
      <x:c r="A8" s="6" t="str">
        <x:v>Semana 3</x:v>
      </x:c>
      <x:c r="B8" s="6" t="str">
        <x:v>Desarrollo de Autenticación y Roles (Admin/Operario/Cliente)</x:v>
      </x:c>
      <x:c r="C8" s="6" t="str">
        <x:v>Fase 1: Plataforma Web</x:v>
      </x:c>
      <x:c r="D8" s="6" t="str">
        <x:v>Alejandro Fuentes</x:v>
      </x:c>
      <x:c r="E8" s="10" t="d">
        <x:v>2026-08-28T00:00:00.000Z</x:v>
      </x:c>
      <x:c r="F8" s="10" t="d">
        <x:v>2026-09-04T00:00:00.000Z</x:v>
      </x:c>
      <x:c r="G8" s="6" t="n">
        <x:f>F8-E8</x:f>
        <x:v>7</x:v>
      </x:c>
      <x:c r="H8" s="6" t="str">
        <x:v>Pendiente sin implementación</x:v>
      </x:c>
      <x:c r="I8" s="6" t="str">
        <x:v>Plazo original vencido; aceptación no acreditada</x:v>
      </x:c>
      <x:c r="J8" s="6" t="str">
        <x:f>IF(AND(J$5&gt;=$E8,J$5&lt;$F8),1,"")</x:f>
      </x:c>
      <x:c r="K8" s="6" t="str">
        <x:f>IF(AND(K$5&gt;=$E8,K$5&lt;$F8),1,"")</x:f>
      </x:c>
      <x:c r="L8" s="6" t="n">
        <x:f>IF(AND(L$5&gt;=$E8,L$5&lt;$F8),1,"")</x:f>
        <x:v>1</x:v>
      </x:c>
      <x:c r="M8" s="6" t="str">
        <x:f>IF(AND(M$5&gt;=$E8,M$5&lt;$F8),1,"")</x:f>
      </x:c>
      <x:c r="N8" s="6" t="str">
        <x:f>IF(AND(N$5&gt;=$E8,N$5&lt;$F8),1,"")</x:f>
      </x:c>
      <x:c r="O8" s="6" t="str">
        <x:f>IF(AND(O$5&gt;=$E8,O$5&lt;$F8),1,"")</x:f>
      </x:c>
      <x:c r="P8" s="6" t="str">
        <x:f>IF(AND(P$5&gt;=$E8,P$5&lt;$F8),1,"")</x:f>
      </x:c>
      <x:c r="Q8" s="6" t="str">
        <x:f>IF(AND(Q$5&gt;=$E8,Q$5&lt;$F8),1,"")</x:f>
      </x:c>
      <x:c r="R8" s="6" t="str">
        <x:f>IF(AND(R$5&gt;=$E8,R$5&lt;$F8),1,"")</x:f>
      </x:c>
      <x:c r="S8" s="6" t="str">
        <x:f>IF(AND(S$5&gt;=$E8,S$5&lt;$F8),1,"")</x:f>
      </x:c>
      <x:c r="T8" s="6" t="str">
        <x:f>IF(AND(T$5&gt;=$E8,T$5&lt;$F8),1,"")</x:f>
      </x:c>
      <x:c r="U8" s="6" t="str">
        <x:f>IF(AND(U$5&gt;=$E8,U$5&lt;$F8),1,"")</x:f>
      </x:c>
      <x:c r="V8" s="6" t="str">
        <x:f>IF(AND(V$5&gt;=$E8,V$5&lt;$F8),1,"")</x:f>
      </x:c>
      <x:c r="W8" s="6" t="str">
        <x:f>IF(AND(W$5&gt;=$E8,W$5&lt;$F8),1,"")</x:f>
      </x:c>
      <x:c r="X8" s="6" t="str">
        <x:f>IF(AND(X$5&gt;=$E8,X$5&lt;$F8),1,"")</x:f>
      </x:c>
      <x:c r="Y8" s="6" t="str">
        <x:f>IF(AND(Y$5&gt;=$E8,Y$5&lt;$F8),1,"")</x:f>
      </x:c>
      <x:c r="Z8" s="6" t="str">
        <x:f>IF(AND(Z$5&gt;=$E8,Z$5&lt;$F8),1,"")</x:f>
      </x:c>
      <x:c r="AA8" s="6" t="str">
        <x:f>IF(AND(AA$5&gt;=$E8,AA$5&lt;$F8),1,"")</x:f>
      </x:c>
    </x:row>
    <x:row r="9" ht="78" customHeight="1">
      <x:c r="A9" s="11" t="str">
        <x:v>Semana 4</x:v>
      </x:c>
      <x:c r="B9" s="11" t="str">
        <x:v>Desarrollo del Módulo de Inventario (Frontend y Backend)</x:v>
      </x:c>
      <x:c r="C9" s="11" t="str">
        <x:v>Fase 1: Plataforma Web</x:v>
      </x:c>
      <x:c r="D9" s="11" t="str">
        <x:v>Dante Allendes</x:v>
      </x:c>
      <x:c r="E9" s="12" t="d">
        <x:v>2026-09-04T00:00:00.000Z</x:v>
      </x:c>
      <x:c r="F9" s="12" t="d">
        <x:v>2026-09-11T00:00:00.000Z</x:v>
      </x:c>
      <x:c r="G9" s="11" t="n">
        <x:f>F9-E9</x:f>
        <x:v>7</x:v>
      </x:c>
      <x:c r="H9" s="11" t="str">
        <x:v>Pendiente sin implementación</x:v>
      </x:c>
      <x:c r="I9" s="11" t="str">
        <x:v>Plazo original vencido; aceptación no acreditada</x:v>
      </x:c>
      <x:c r="J9" s="6" t="str">
        <x:f>IF(AND(J$5&gt;=$E9,J$5&lt;$F9),1,"")</x:f>
      </x:c>
      <x:c r="K9" s="6" t="str">
        <x:f>IF(AND(K$5&gt;=$E9,K$5&lt;$F9),1,"")</x:f>
      </x:c>
      <x:c r="L9" s="6" t="str">
        <x:f>IF(AND(L$5&gt;=$E9,L$5&lt;$F9),1,"")</x:f>
      </x:c>
      <x:c r="M9" s="6" t="n">
        <x:f>IF(AND(M$5&gt;=$E9,M$5&lt;$F9),1,"")</x:f>
        <x:v>1</x:v>
      </x:c>
      <x:c r="N9" s="6" t="str">
        <x:f>IF(AND(N$5&gt;=$E9,N$5&lt;$F9),1,"")</x:f>
      </x:c>
      <x:c r="O9" s="6" t="str">
        <x:f>IF(AND(O$5&gt;=$E9,O$5&lt;$F9),1,"")</x:f>
      </x:c>
      <x:c r="P9" s="6" t="str">
        <x:f>IF(AND(P$5&gt;=$E9,P$5&lt;$F9),1,"")</x:f>
      </x:c>
      <x:c r="Q9" s="6" t="str">
        <x:f>IF(AND(Q$5&gt;=$E9,Q$5&lt;$F9),1,"")</x:f>
      </x:c>
      <x:c r="R9" s="6" t="str">
        <x:f>IF(AND(R$5&gt;=$E9,R$5&lt;$F9),1,"")</x:f>
      </x:c>
      <x:c r="S9" s="6" t="str">
        <x:f>IF(AND(S$5&gt;=$E9,S$5&lt;$F9),1,"")</x:f>
      </x:c>
      <x:c r="T9" s="6" t="str">
        <x:f>IF(AND(T$5&gt;=$E9,T$5&lt;$F9),1,"")</x:f>
      </x:c>
      <x:c r="U9" s="6" t="str">
        <x:f>IF(AND(U$5&gt;=$E9,U$5&lt;$F9),1,"")</x:f>
      </x:c>
      <x:c r="V9" s="6" t="str">
        <x:f>IF(AND(V$5&gt;=$E9,V$5&lt;$F9),1,"")</x:f>
      </x:c>
      <x:c r="W9" s="6" t="str">
        <x:f>IF(AND(W$5&gt;=$E9,W$5&lt;$F9),1,"")</x:f>
      </x:c>
      <x:c r="X9" s="6" t="str">
        <x:f>IF(AND(X$5&gt;=$E9,X$5&lt;$F9),1,"")</x:f>
      </x:c>
      <x:c r="Y9" s="6" t="str">
        <x:f>IF(AND(Y$5&gt;=$E9,Y$5&lt;$F9),1,"")</x:f>
      </x:c>
      <x:c r="Z9" s="6" t="str">
        <x:f>IF(AND(Z$5&gt;=$E9,Z$5&lt;$F9),1,"")</x:f>
      </x:c>
      <x:c r="AA9" s="6" t="str">
        <x:f>IF(AND(AA$5&gt;=$E9,AA$5&lt;$F9),1,"")</x:f>
      </x:c>
    </x:row>
    <x:row r="10" ht="78" customHeight="1">
      <x:c r="A10" s="6" t="str">
        <x:v>Semana 5</x:v>
      </x:c>
      <x:c r="B10" s="6" t="str">
        <x:v>Desarrollo de Generación Automática de Certificados (PDF)</x:v>
      </x:c>
      <x:c r="C10" s="6" t="str">
        <x:v>Fase 1: Plataforma Web</x:v>
      </x:c>
      <x:c r="D10" s="6" t="str">
        <x:v>Alejandro Fuentes</x:v>
      </x:c>
      <x:c r="E10" s="10" t="d">
        <x:v>2026-09-11T00:00:00.000Z</x:v>
      </x:c>
      <x:c r="F10" s="10" t="d">
        <x:v>2026-09-18T00:00:00.000Z</x:v>
      </x:c>
      <x:c r="G10" s="6" t="n">
        <x:f>F10-E10</x:f>
        <x:v>7</x:v>
      </x:c>
      <x:c r="H10" s="6" t="str">
        <x:v>Incompleta; hash y HTML probados con REST simulado</x:v>
      </x:c>
      <x:c r="I10" s="6" t="str">
        <x:v>Plazo original vencido; aceptación no acreditada</x:v>
      </x:c>
      <x:c r="J10" s="6" t="str">
        <x:f>IF(AND(J$5&gt;=$E10,J$5&lt;$F10),1,"")</x:f>
      </x:c>
      <x:c r="K10" s="6" t="str">
        <x:f>IF(AND(K$5&gt;=$E10,K$5&lt;$F10),1,"")</x:f>
      </x:c>
      <x:c r="L10" s="6" t="str">
        <x:f>IF(AND(L$5&gt;=$E10,L$5&lt;$F10),1,"")</x:f>
      </x:c>
      <x:c r="M10" s="6" t="str">
        <x:f>IF(AND(M$5&gt;=$E10,M$5&lt;$F10),1,"")</x:f>
      </x:c>
      <x:c r="N10" s="6" t="n">
        <x:f>IF(AND(N$5&gt;=$E10,N$5&lt;$F10),1,"")</x:f>
        <x:v>1</x:v>
      </x:c>
      <x:c r="O10" s="6" t="str">
        <x:f>IF(AND(O$5&gt;=$E10,O$5&lt;$F10),1,"")</x:f>
      </x:c>
      <x:c r="P10" s="6" t="str">
        <x:f>IF(AND(P$5&gt;=$E10,P$5&lt;$F10),1,"")</x:f>
      </x:c>
      <x:c r="Q10" s="6" t="str">
        <x:f>IF(AND(Q$5&gt;=$E10,Q$5&lt;$F10),1,"")</x:f>
      </x:c>
      <x:c r="R10" s="6" t="str">
        <x:f>IF(AND(R$5&gt;=$E10,R$5&lt;$F10),1,"")</x:f>
      </x:c>
      <x:c r="S10" s="6" t="str">
        <x:f>IF(AND(S$5&gt;=$E10,S$5&lt;$F10),1,"")</x:f>
      </x:c>
      <x:c r="T10" s="6" t="str">
        <x:f>IF(AND(T$5&gt;=$E10,T$5&lt;$F10),1,"")</x:f>
      </x:c>
      <x:c r="U10" s="6" t="str">
        <x:f>IF(AND(U$5&gt;=$E10,U$5&lt;$F10),1,"")</x:f>
      </x:c>
      <x:c r="V10" s="6" t="str">
        <x:f>IF(AND(V$5&gt;=$E10,V$5&lt;$F10),1,"")</x:f>
      </x:c>
      <x:c r="W10" s="6" t="str">
        <x:f>IF(AND(W$5&gt;=$E10,W$5&lt;$F10),1,"")</x:f>
      </x:c>
      <x:c r="X10" s="6" t="str">
        <x:f>IF(AND(X$5&gt;=$E10,X$5&lt;$F10),1,"")</x:f>
      </x:c>
      <x:c r="Y10" s="6" t="str">
        <x:f>IF(AND(Y$5&gt;=$E10,Y$5&lt;$F10),1,"")</x:f>
      </x:c>
      <x:c r="Z10" s="6" t="str">
        <x:f>IF(AND(Z$5&gt;=$E10,Z$5&lt;$F10),1,"")</x:f>
      </x:c>
      <x:c r="AA10" s="6" t="str">
        <x:f>IF(AND(AA$5&gt;=$E10,AA$5&lt;$F10),1,"")</x:f>
      </x:c>
    </x:row>
    <x:row r="11" ht="78" customHeight="1">
      <x:c r="A11" s="11" t="str">
        <x:v>Semana 6</x:v>
      </x:c>
      <x:c r="B11" s="11" t="str">
        <x:v>Pruebas QA Fase 1 y Ajustes</x:v>
      </x:c>
      <x:c r="C11" s="11" t="str">
        <x:v>Fase 1: Plataforma Web</x:v>
      </x:c>
      <x:c r="D11" s="11" t="str">
        <x:v>Alejandro Fuentes</x:v>
      </x:c>
      <x:c r="E11" s="12" t="d">
        <x:v>2026-09-18T00:00:00.000Z</x:v>
      </x:c>
      <x:c r="F11" s="12" t="d">
        <x:v>2026-09-25T00:00:00.000Z</x:v>
      </x:c>
      <x:c r="G11" s="11" t="n">
        <x:f>F11-E11</x:f>
        <x:v>7</x:v>
      </x:c>
      <x:c r="H11" s="11" t="str">
        <x:v>Parcial; sin aceptación de fase en fecha original</x:v>
      </x:c>
      <x:c r="I11" s="11" t="str">
        <x:v>Plazo original vencido; aceptación no acreditada</x:v>
      </x:c>
      <x:c r="J11" s="6" t="str">
        <x:f>IF(AND(J$5&gt;=$E11,J$5&lt;$F11),1,"")</x:f>
      </x:c>
      <x:c r="K11" s="6" t="str">
        <x:f>IF(AND(K$5&gt;=$E11,K$5&lt;$F11),1,"")</x:f>
      </x:c>
      <x:c r="L11" s="6" t="str">
        <x:f>IF(AND(L$5&gt;=$E11,L$5&lt;$F11),1,"")</x:f>
      </x:c>
      <x:c r="M11" s="6" t="str">
        <x:f>IF(AND(M$5&gt;=$E11,M$5&lt;$F11),1,"")</x:f>
      </x:c>
      <x:c r="N11" s="6" t="str">
        <x:f>IF(AND(N$5&gt;=$E11,N$5&lt;$F11),1,"")</x:f>
      </x:c>
      <x:c r="O11" s="6" t="n">
        <x:f>IF(AND(O$5&gt;=$E11,O$5&lt;$F11),1,"")</x:f>
        <x:v>1</x:v>
      </x:c>
      <x:c r="P11" s="6" t="str">
        <x:f>IF(AND(P$5&gt;=$E11,P$5&lt;$F11),1,"")</x:f>
      </x:c>
      <x:c r="Q11" s="6" t="str">
        <x:f>IF(AND(Q$5&gt;=$E11,Q$5&lt;$F11),1,"")</x:f>
      </x:c>
      <x:c r="R11" s="6" t="str">
        <x:f>IF(AND(R$5&gt;=$E11,R$5&lt;$F11),1,"")</x:f>
      </x:c>
      <x:c r="S11" s="6" t="str">
        <x:f>IF(AND(S$5&gt;=$E11,S$5&lt;$F11),1,"")</x:f>
      </x:c>
      <x:c r="T11" s="6" t="str">
        <x:f>IF(AND(T$5&gt;=$E11,T$5&lt;$F11),1,"")</x:f>
      </x:c>
      <x:c r="U11" s="6" t="str">
        <x:f>IF(AND(U$5&gt;=$E11,U$5&lt;$F11),1,"")</x:f>
      </x:c>
      <x:c r="V11" s="6" t="str">
        <x:f>IF(AND(V$5&gt;=$E11,V$5&lt;$F11),1,"")</x:f>
      </x:c>
      <x:c r="W11" s="6" t="str">
        <x:f>IF(AND(W$5&gt;=$E11,W$5&lt;$F11),1,"")</x:f>
      </x:c>
      <x:c r="X11" s="6" t="str">
        <x:f>IF(AND(X$5&gt;=$E11,X$5&lt;$F11),1,"")</x:f>
      </x:c>
      <x:c r="Y11" s="6" t="str">
        <x:f>IF(AND(Y$5&gt;=$E11,Y$5&lt;$F11),1,"")</x:f>
      </x:c>
      <x:c r="Z11" s="6" t="str">
        <x:f>IF(AND(Z$5&gt;=$E11,Z$5&lt;$F11),1,"")</x:f>
      </x:c>
      <x:c r="AA11" s="6" t="str">
        <x:f>IF(AND(AA$5&gt;=$E11,AA$5&lt;$F11),1,"")</x:f>
      </x:c>
    </x:row>
    <x:row r="12" ht="78" customHeight="1">
      <x:c r="A12" s="6" t="str">
        <x:v>Semana 7</x:v>
      </x:c>
      <x:c r="B12" s="6" t="str">
        <x:v>Configuración de Mapbox/Google Maps API</x:v>
      </x:c>
      <x:c r="C12" s="6" t="str">
        <x:v>Fase 2: Logística y GPS</x:v>
      </x:c>
      <x:c r="D12" s="6" t="str">
        <x:v>Dante Allendes</x:v>
      </x:c>
      <x:c r="E12" s="10" t="d">
        <x:v>2026-09-25T00:00:00.000Z</x:v>
      </x:c>
      <x:c r="F12" s="10" t="d">
        <x:v>2026-10-02T00:00:00.000Z</x:v>
      </x:c>
      <x:c r="G12" s="6" t="n">
        <x:f>F12-E12</x:f>
        <x:v>7</x:v>
      </x:c>
      <x:c r="H12" s="6" t="str">
        <x:v>Parcial; iframe verificado, Places incompleto</x:v>
      </x:c>
      <x:c r="I12" s="6" t="str">
        <x:v>Plazo original vencido; aceptación no acreditada</x:v>
      </x:c>
      <x:c r="J12" s="6" t="str">
        <x:f>IF(AND(J$5&gt;=$E12,J$5&lt;$F12),1,"")</x:f>
      </x:c>
      <x:c r="K12" s="6" t="str">
        <x:f>IF(AND(K$5&gt;=$E12,K$5&lt;$F12),1,"")</x:f>
      </x:c>
      <x:c r="L12" s="6" t="str">
        <x:f>IF(AND(L$5&gt;=$E12,L$5&lt;$F12),1,"")</x:f>
      </x:c>
      <x:c r="M12" s="6" t="str">
        <x:f>IF(AND(M$5&gt;=$E12,M$5&lt;$F12),1,"")</x:f>
      </x:c>
      <x:c r="N12" s="6" t="str">
        <x:f>IF(AND(N$5&gt;=$E12,N$5&lt;$F12),1,"")</x:f>
      </x:c>
      <x:c r="O12" s="6" t="str">
        <x:f>IF(AND(O$5&gt;=$E12,O$5&lt;$F12),1,"")</x:f>
      </x:c>
      <x:c r="P12" s="6" t="n">
        <x:f>IF(AND(P$5&gt;=$E12,P$5&lt;$F12),1,"")</x:f>
        <x:v>1</x:v>
      </x:c>
      <x:c r="Q12" s="6" t="str">
        <x:f>IF(AND(Q$5&gt;=$E12,Q$5&lt;$F12),1,"")</x:f>
      </x:c>
      <x:c r="R12" s="6" t="str">
        <x:f>IF(AND(R$5&gt;=$E12,R$5&lt;$F12),1,"")</x:f>
      </x:c>
      <x:c r="S12" s="6" t="str">
        <x:f>IF(AND(S$5&gt;=$E12,S$5&lt;$F12),1,"")</x:f>
      </x:c>
      <x:c r="T12" s="6" t="str">
        <x:f>IF(AND(T$5&gt;=$E12,T$5&lt;$F12),1,"")</x:f>
      </x:c>
      <x:c r="U12" s="6" t="str">
        <x:f>IF(AND(U$5&gt;=$E12,U$5&lt;$F12),1,"")</x:f>
      </x:c>
      <x:c r="V12" s="6" t="str">
        <x:f>IF(AND(V$5&gt;=$E12,V$5&lt;$F12),1,"")</x:f>
      </x:c>
      <x:c r="W12" s="6" t="str">
        <x:f>IF(AND(W$5&gt;=$E12,W$5&lt;$F12),1,"")</x:f>
      </x:c>
      <x:c r="X12" s="6" t="str">
        <x:f>IF(AND(X$5&gt;=$E12,X$5&lt;$F12),1,"")</x:f>
      </x:c>
      <x:c r="Y12" s="6" t="str">
        <x:f>IF(AND(Y$5&gt;=$E12,Y$5&lt;$F12),1,"")</x:f>
      </x:c>
      <x:c r="Z12" s="6" t="str">
        <x:f>IF(AND(Z$5&gt;=$E12,Z$5&lt;$F12),1,"")</x:f>
      </x:c>
      <x:c r="AA12" s="6" t="str">
        <x:f>IF(AND(AA$5&gt;=$E12,AA$5&lt;$F12),1,"")</x:f>
      </x:c>
    </x:row>
    <x:row r="13" ht="78" customHeight="1">
      <x:c r="A13" s="11" t="str">
        <x:v>Semana 8</x:v>
      </x:c>
      <x:c r="B13" s="11" t="str">
        <x:v>Desarrollo del Panel Command Center para Admin</x:v>
      </x:c>
      <x:c r="C13" s="11" t="str">
        <x:v>Fase 2: Logística y GPS</x:v>
      </x:c>
      <x:c r="D13" s="11" t="str">
        <x:v>Dante Allendes</x:v>
      </x:c>
      <x:c r="E13" s="12" t="d">
        <x:v>2026-10-02T00:00:00.000Z</x:v>
      </x:c>
      <x:c r="F13" s="12" t="d">
        <x:v>2026-10-09T00:00:00.000Z</x:v>
      </x:c>
      <x:c r="G13" s="11" t="n">
        <x:f>F13-E13</x:f>
        <x:v>7</x:v>
      </x:c>
      <x:c r="H13" s="11" t="str">
        <x:v>Implementada y verificada con servicio simulado; parcial</x:v>
      </x:c>
      <x:c r="I13" s="11" t="str">
        <x:v>Plazo original vencido; aceptación no acreditada</x:v>
      </x:c>
      <x:c r="J13" s="6" t="str">
        <x:f>IF(AND(J$5&gt;=$E13,J$5&lt;$F13),1,"")</x:f>
      </x:c>
      <x:c r="K13" s="6" t="str">
        <x:f>IF(AND(K$5&gt;=$E13,K$5&lt;$F13),1,"")</x:f>
      </x:c>
      <x:c r="L13" s="6" t="str">
        <x:f>IF(AND(L$5&gt;=$E13,L$5&lt;$F13),1,"")</x:f>
      </x:c>
      <x:c r="M13" s="6" t="str">
        <x:f>IF(AND(M$5&gt;=$E13,M$5&lt;$F13),1,"")</x:f>
      </x:c>
      <x:c r="N13" s="6" t="str">
        <x:f>IF(AND(N$5&gt;=$E13,N$5&lt;$F13),1,"")</x:f>
      </x:c>
      <x:c r="O13" s="6" t="str">
        <x:f>IF(AND(O$5&gt;=$E13,O$5&lt;$F13),1,"")</x:f>
      </x:c>
      <x:c r="P13" s="6" t="str">
        <x:f>IF(AND(P$5&gt;=$E13,P$5&lt;$F13),1,"")</x:f>
      </x:c>
      <x:c r="Q13" s="6" t="n">
        <x:f>IF(AND(Q$5&gt;=$E13,Q$5&lt;$F13),1,"")</x:f>
        <x:v>1</x:v>
      </x:c>
      <x:c r="R13" s="6" t="str">
        <x:f>IF(AND(R$5&gt;=$E13,R$5&lt;$F13),1,"")</x:f>
      </x:c>
      <x:c r="S13" s="6" t="str">
        <x:f>IF(AND(S$5&gt;=$E13,S$5&lt;$F13),1,"")</x:f>
      </x:c>
      <x:c r="T13" s="6" t="str">
        <x:f>IF(AND(T$5&gt;=$E13,T$5&lt;$F13),1,"")</x:f>
      </x:c>
      <x:c r="U13" s="6" t="str">
        <x:f>IF(AND(U$5&gt;=$E13,U$5&lt;$F13),1,"")</x:f>
      </x:c>
      <x:c r="V13" s="6" t="str">
        <x:f>IF(AND(V$5&gt;=$E13,V$5&lt;$F13),1,"")</x:f>
      </x:c>
      <x:c r="W13" s="6" t="str">
        <x:f>IF(AND(W$5&gt;=$E13,W$5&lt;$F13),1,"")</x:f>
      </x:c>
      <x:c r="X13" s="6" t="str">
        <x:f>IF(AND(X$5&gt;=$E13,X$5&lt;$F13),1,"")</x:f>
      </x:c>
      <x:c r="Y13" s="6" t="str">
        <x:f>IF(AND(Y$5&gt;=$E13,Y$5&lt;$F13),1,"")</x:f>
      </x:c>
      <x:c r="Z13" s="6" t="str">
        <x:f>IF(AND(Z$5&gt;=$E13,Z$5&lt;$F13),1,"")</x:f>
      </x:c>
      <x:c r="AA13" s="6" t="str">
        <x:f>IF(AND(AA$5&gt;=$E13,AA$5&lt;$F13),1,"")</x:f>
      </x:c>
    </x:row>
    <x:row r="14" ht="78" customHeight="1">
      <x:c r="A14" s="6" t="str">
        <x:v>Semana 9</x:v>
      </x:c>
      <x:c r="B14" s="6" t="str">
        <x:v>Desarrollo de Vista de Seguimiento para Cliente</x:v>
      </x:c>
      <x:c r="C14" s="6" t="str">
        <x:v>Fase 2: Logística y GPS</x:v>
      </x:c>
      <x:c r="D14" s="6" t="str">
        <x:v>Dante Allendes</x:v>
      </x:c>
      <x:c r="E14" s="10" t="d">
        <x:v>2026-10-09T00:00:00.000Z</x:v>
      </x:c>
      <x:c r="F14" s="10" t="d">
        <x:v>2026-10-16T00:00:00.000Z</x:v>
      </x:c>
      <x:c r="G14" s="6" t="n">
        <x:f>F14-E14</x:f>
        <x:v>7</x:v>
      </x:c>
      <x:c r="H14" s="6" t="str">
        <x:v>Pendiente sin implementación</x:v>
      </x:c>
      <x:c r="I14" s="6" t="str">
        <x:v>Plazo original vencido; aceptación no acreditada</x:v>
      </x:c>
      <x:c r="J14" s="6" t="str">
        <x:f>IF(AND(J$5&gt;=$E14,J$5&lt;$F14),1,"")</x:f>
      </x:c>
      <x:c r="K14" s="6" t="str">
        <x:f>IF(AND(K$5&gt;=$E14,K$5&lt;$F14),1,"")</x:f>
      </x:c>
      <x:c r="L14" s="6" t="str">
        <x:f>IF(AND(L$5&gt;=$E14,L$5&lt;$F14),1,"")</x:f>
      </x:c>
      <x:c r="M14" s="6" t="str">
        <x:f>IF(AND(M$5&gt;=$E14,M$5&lt;$F14),1,"")</x:f>
      </x:c>
      <x:c r="N14" s="6" t="str">
        <x:f>IF(AND(N$5&gt;=$E14,N$5&lt;$F14),1,"")</x:f>
      </x:c>
      <x:c r="O14" s="6" t="str">
        <x:f>IF(AND(O$5&gt;=$E14,O$5&lt;$F14),1,"")</x:f>
      </x:c>
      <x:c r="P14" s="6" t="str">
        <x:f>IF(AND(P$5&gt;=$E14,P$5&lt;$F14),1,"")</x:f>
      </x:c>
      <x:c r="Q14" s="6" t="str">
        <x:f>IF(AND(Q$5&gt;=$E14,Q$5&lt;$F14),1,"")</x:f>
      </x:c>
      <x:c r="R14" s="6" t="n">
        <x:f>IF(AND(R$5&gt;=$E14,R$5&lt;$F14),1,"")</x:f>
        <x:v>1</x:v>
      </x:c>
      <x:c r="S14" s="6" t="str">
        <x:f>IF(AND(S$5&gt;=$E14,S$5&lt;$F14),1,"")</x:f>
      </x:c>
      <x:c r="T14" s="6" t="str">
        <x:f>IF(AND(T$5&gt;=$E14,T$5&lt;$F14),1,"")</x:f>
      </x:c>
      <x:c r="U14" s="6" t="str">
        <x:f>IF(AND(U$5&gt;=$E14,U$5&lt;$F14),1,"")</x:f>
      </x:c>
      <x:c r="V14" s="6" t="str">
        <x:f>IF(AND(V$5&gt;=$E14,V$5&lt;$F14),1,"")</x:f>
      </x:c>
      <x:c r="W14" s="6" t="str">
        <x:f>IF(AND(W$5&gt;=$E14,W$5&lt;$F14),1,"")</x:f>
      </x:c>
      <x:c r="X14" s="6" t="str">
        <x:f>IF(AND(X$5&gt;=$E14,X$5&lt;$F14),1,"")</x:f>
      </x:c>
      <x:c r="Y14" s="6" t="str">
        <x:f>IF(AND(Y$5&gt;=$E14,Y$5&lt;$F14),1,"")</x:f>
      </x:c>
      <x:c r="Z14" s="6" t="str">
        <x:f>IF(AND(Z$5&gt;=$E14,Z$5&lt;$F14),1,"")</x:f>
      </x:c>
      <x:c r="AA14" s="6" t="str">
        <x:f>IF(AND(AA$5&gt;=$E14,AA$5&lt;$F14),1,"")</x:f>
      </x:c>
    </x:row>
    <x:row r="15" ht="78" customHeight="1">
      <x:c r="A15" s="11" t="str">
        <x:v>Semana 10</x:v>
      </x:c>
      <x:c r="B15" s="11" t="str">
        <x:v>Conexión WebSockets y Pruebas en Tiempo Real</x:v>
      </x:c>
      <x:c r="C15" s="11" t="str">
        <x:v>Fase 2: Logística y GPS</x:v>
      </x:c>
      <x:c r="D15" s="11" t="str">
        <x:v>Alejandro Fuentes</x:v>
      </x:c>
      <x:c r="E15" s="12" t="d">
        <x:v>2026-10-16T00:00:00.000Z</x:v>
      </x:c>
      <x:c r="F15" s="12" t="d">
        <x:v>2026-10-23T00:00:00.000Z</x:v>
      </x:c>
      <x:c r="G15" s="11" t="n">
        <x:f>F15-E15</x:f>
        <x:v>7</x:v>
      </x:c>
      <x:c r="H15" s="11" t="str">
        <x:v>Código implementado; Realtime bloqueado por servicio</x:v>
      </x:c>
      <x:c r="I15" s="11" t="str">
        <x:v>Dentro de ventana original; aceptación pendiente</x:v>
      </x:c>
      <x:c r="J15" s="6" t="str">
        <x:f>IF(AND(J$5&gt;=$E15,J$5&lt;$F15),1,"")</x:f>
      </x:c>
      <x:c r="K15" s="6" t="str">
        <x:f>IF(AND(K$5&gt;=$E15,K$5&lt;$F15),1,"")</x:f>
      </x:c>
      <x:c r="L15" s="6" t="str">
        <x:f>IF(AND(L$5&gt;=$E15,L$5&lt;$F15),1,"")</x:f>
      </x:c>
      <x:c r="M15" s="6" t="str">
        <x:f>IF(AND(M$5&gt;=$E15,M$5&lt;$F15),1,"")</x:f>
      </x:c>
      <x:c r="N15" s="6" t="str">
        <x:f>IF(AND(N$5&gt;=$E15,N$5&lt;$F15),1,"")</x:f>
      </x:c>
      <x:c r="O15" s="6" t="str">
        <x:f>IF(AND(O$5&gt;=$E15,O$5&lt;$F15),1,"")</x:f>
      </x:c>
      <x:c r="P15" s="6" t="str">
        <x:f>IF(AND(P$5&gt;=$E15,P$5&lt;$F15),1,"")</x:f>
      </x:c>
      <x:c r="Q15" s="6" t="str">
        <x:f>IF(AND(Q$5&gt;=$E15,Q$5&lt;$F15),1,"")</x:f>
      </x:c>
      <x:c r="R15" s="6" t="str">
        <x:f>IF(AND(R$5&gt;=$E15,R$5&lt;$F15),1,"")</x:f>
      </x:c>
      <x:c r="S15" s="6" t="n">
        <x:f>IF(AND(S$5&gt;=$E15,S$5&lt;$F15),1,"")</x:f>
        <x:v>1</x:v>
      </x:c>
      <x:c r="T15" s="6" t="str">
        <x:f>IF(AND(T$5&gt;=$E15,T$5&lt;$F15),1,"")</x:f>
      </x:c>
      <x:c r="U15" s="6" t="str">
        <x:f>IF(AND(U$5&gt;=$E15,U$5&lt;$F15),1,"")</x:f>
      </x:c>
      <x:c r="V15" s="6" t="str">
        <x:f>IF(AND(V$5&gt;=$E15,V$5&lt;$F15),1,"")</x:f>
      </x:c>
      <x:c r="W15" s="6" t="str">
        <x:f>IF(AND(W$5&gt;=$E15,W$5&lt;$F15),1,"")</x:f>
      </x:c>
      <x:c r="X15" s="6" t="str">
        <x:f>IF(AND(X$5&gt;=$E15,X$5&lt;$F15),1,"")</x:f>
      </x:c>
      <x:c r="Y15" s="6" t="str">
        <x:f>IF(AND(Y$5&gt;=$E15,Y$5&lt;$F15),1,"")</x:f>
      </x:c>
      <x:c r="Z15" s="6" t="str">
        <x:f>IF(AND(Z$5&gt;=$E15,Z$5&lt;$F15),1,"")</x:f>
      </x:c>
      <x:c r="AA15" s="6" t="str">
        <x:f>IF(AND(AA$5&gt;=$E15,AA$5&lt;$F15),1,"")</x:f>
      </x:c>
    </x:row>
    <x:row r="16" ht="78" customHeight="1">
      <x:c r="A16" s="6" t="str">
        <x:v>Semana 11</x:v>
      </x:c>
      <x:c r="B16" s="6" t="str">
        <x:v>Diseño de arquitectura de hardware (Microcontroladores)</x:v>
      </x:c>
      <x:c r="C16" s="6" t="str">
        <x:v>Fase 3: Integración IoT</x:v>
      </x:c>
      <x:c r="D16" s="6" t="str">
        <x:v>Alejandro Fuentes</x:v>
      </x:c>
      <x:c r="E16" s="10" t="d">
        <x:v>2026-10-23T00:00:00.000Z</x:v>
      </x:c>
      <x:c r="F16" s="10" t="d">
        <x:v>2026-10-30T00:00:00.000Z</x:v>
      </x:c>
      <x:c r="G16" s="6" t="n">
        <x:f>F16-E16</x:f>
        <x:v>7</x:v>
      </x:c>
      <x:c r="H16" s="6" t="str">
        <x:v>Parcial; diseño físico completo por confirmar</x:v>
      </x:c>
      <x:c r="I16" s="6" t="str">
        <x:v>Ventana original futura; sin aceptación anticipada</x:v>
      </x:c>
      <x:c r="J16" s="6" t="str">
        <x:f>IF(AND(J$5&gt;=$E16,J$5&lt;$F16),1,"")</x:f>
      </x:c>
      <x:c r="K16" s="6" t="str">
        <x:f>IF(AND(K$5&gt;=$E16,K$5&lt;$F16),1,"")</x:f>
      </x:c>
      <x:c r="L16" s="6" t="str">
        <x:f>IF(AND(L$5&gt;=$E16,L$5&lt;$F16),1,"")</x:f>
      </x:c>
      <x:c r="M16" s="6" t="str">
        <x:f>IF(AND(M$5&gt;=$E16,M$5&lt;$F16),1,"")</x:f>
      </x:c>
      <x:c r="N16" s="6" t="str">
        <x:f>IF(AND(N$5&gt;=$E16,N$5&lt;$F16),1,"")</x:f>
      </x:c>
      <x:c r="O16" s="6" t="str">
        <x:f>IF(AND(O$5&gt;=$E16,O$5&lt;$F16),1,"")</x:f>
      </x:c>
      <x:c r="P16" s="6" t="str">
        <x:f>IF(AND(P$5&gt;=$E16,P$5&lt;$F16),1,"")</x:f>
      </x:c>
      <x:c r="Q16" s="6" t="str">
        <x:f>IF(AND(Q$5&gt;=$E16,Q$5&lt;$F16),1,"")</x:f>
      </x:c>
      <x:c r="R16" s="6" t="str">
        <x:f>IF(AND(R$5&gt;=$E16,R$5&lt;$F16),1,"")</x:f>
      </x:c>
      <x:c r="S16" s="6" t="str">
        <x:f>IF(AND(S$5&gt;=$E16,S$5&lt;$F16),1,"")</x:f>
      </x:c>
      <x:c r="T16" s="6" t="n">
        <x:f>IF(AND(T$5&gt;=$E16,T$5&lt;$F16),1,"")</x:f>
        <x:v>1</x:v>
      </x:c>
      <x:c r="U16" s="6" t="str">
        <x:f>IF(AND(U$5&gt;=$E16,U$5&lt;$F16),1,"")</x:f>
      </x:c>
      <x:c r="V16" s="6" t="str">
        <x:f>IF(AND(V$5&gt;=$E16,V$5&lt;$F16),1,"")</x:f>
      </x:c>
      <x:c r="W16" s="6" t="str">
        <x:f>IF(AND(W$5&gt;=$E16,W$5&lt;$F16),1,"")</x:f>
      </x:c>
      <x:c r="X16" s="6" t="str">
        <x:f>IF(AND(X$5&gt;=$E16,X$5&lt;$F16),1,"")</x:f>
      </x:c>
      <x:c r="Y16" s="6" t="str">
        <x:f>IF(AND(Y$5&gt;=$E16,Y$5&lt;$F16),1,"")</x:f>
      </x:c>
      <x:c r="Z16" s="6" t="str">
        <x:f>IF(AND(Z$5&gt;=$E16,Z$5&lt;$F16),1,"")</x:f>
      </x:c>
      <x:c r="AA16" s="6" t="str">
        <x:f>IF(AND(AA$5&gt;=$E16,AA$5&lt;$F16),1,"")</x:f>
      </x:c>
    </x:row>
    <x:row r="17" ht="78" customHeight="1">
      <x:c r="A17" s="11" t="str">
        <x:v>Semana 12</x:v>
      </x:c>
      <x:c r="B17" s="11" t="str">
        <x:v>Programación de Sensores de Radiación/Peso en C/C++</x:v>
      </x:c>
      <x:c r="C17" s="11" t="str">
        <x:v>Fase 3: Integración IoT</x:v>
      </x:c>
      <x:c r="D17" s="11" t="str">
        <x:v>Alejandro Fuentes</x:v>
      </x:c>
      <x:c r="E17" s="12" t="d">
        <x:v>2026-10-30T00:00:00.000Z</x:v>
      </x:c>
      <x:c r="F17" s="12" t="d">
        <x:v>2026-11-06T00:00:00.000Z</x:v>
      </x:c>
      <x:c r="G17" s="11" t="n">
        <x:f>F17-E17</x:f>
        <x:v>7</x:v>
      </x:c>
      <x:c r="H17" s="11" t="str">
        <x:v>Peso parcial en Python; radiación pendiente</x:v>
      </x:c>
      <x:c r="I17" s="11" t="str">
        <x:v>Ventana original futura; sin aceptación anticipada</x:v>
      </x:c>
      <x:c r="J17" s="6" t="str">
        <x:f>IF(AND(J$5&gt;=$E17,J$5&lt;$F17),1,"")</x:f>
      </x:c>
      <x:c r="K17" s="6" t="str">
        <x:f>IF(AND(K$5&gt;=$E17,K$5&lt;$F17),1,"")</x:f>
      </x:c>
      <x:c r="L17" s="6" t="str">
        <x:f>IF(AND(L$5&gt;=$E17,L$5&lt;$F17),1,"")</x:f>
      </x:c>
      <x:c r="M17" s="6" t="str">
        <x:f>IF(AND(M$5&gt;=$E17,M$5&lt;$F17),1,"")</x:f>
      </x:c>
      <x:c r="N17" s="6" t="str">
        <x:f>IF(AND(N$5&gt;=$E17,N$5&lt;$F17),1,"")</x:f>
      </x:c>
      <x:c r="O17" s="6" t="str">
        <x:f>IF(AND(O$5&gt;=$E17,O$5&lt;$F17),1,"")</x:f>
      </x:c>
      <x:c r="P17" s="6" t="str">
        <x:f>IF(AND(P$5&gt;=$E17,P$5&lt;$F17),1,"")</x:f>
      </x:c>
      <x:c r="Q17" s="6" t="str">
        <x:f>IF(AND(Q$5&gt;=$E17,Q$5&lt;$F17),1,"")</x:f>
      </x:c>
      <x:c r="R17" s="6" t="str">
        <x:f>IF(AND(R$5&gt;=$E17,R$5&lt;$F17),1,"")</x:f>
      </x:c>
      <x:c r="S17" s="6" t="str">
        <x:f>IF(AND(S$5&gt;=$E17,S$5&lt;$F17),1,"")</x:f>
      </x:c>
      <x:c r="T17" s="6" t="str">
        <x:f>IF(AND(T$5&gt;=$E17,T$5&lt;$F17),1,"")</x:f>
      </x:c>
      <x:c r="U17" s="6" t="n">
        <x:f>IF(AND(U$5&gt;=$E17,U$5&lt;$F17),1,"")</x:f>
        <x:v>1</x:v>
      </x:c>
      <x:c r="V17" s="6" t="str">
        <x:f>IF(AND(V$5&gt;=$E17,V$5&lt;$F17),1,"")</x:f>
      </x:c>
      <x:c r="W17" s="6" t="str">
        <x:f>IF(AND(W$5&gt;=$E17,W$5&lt;$F17),1,"")</x:f>
      </x:c>
      <x:c r="X17" s="6" t="str">
        <x:f>IF(AND(X$5&gt;=$E17,X$5&lt;$F17),1,"")</x:f>
      </x:c>
      <x:c r="Y17" s="6" t="str">
        <x:f>IF(AND(Y$5&gt;=$E17,Y$5&lt;$F17),1,"")</x:f>
      </x:c>
      <x:c r="Z17" s="6" t="str">
        <x:f>IF(AND(Z$5&gt;=$E17,Z$5&lt;$F17),1,"")</x:f>
      </x:c>
      <x:c r="AA17" s="6" t="str">
        <x:f>IF(AND(AA$5&gt;=$E17,AA$5&lt;$F17),1,"")</x:f>
      </x:c>
    </x:row>
    <x:row r="18" ht="78" customHeight="1">
      <x:c r="A18" s="6" t="str">
        <x:v>Semana 13</x:v>
      </x:c>
      <x:c r="B18" s="6" t="str">
        <x:v>Conexión de Sensores a la Base de Datos (Supabase)</x:v>
      </x:c>
      <x:c r="C18" s="6" t="str">
        <x:v>Fase 3: Integración IoT</x:v>
      </x:c>
      <x:c r="D18" s="6" t="str">
        <x:v>Alejandro Fuentes</x:v>
      </x:c>
      <x:c r="E18" s="10" t="d">
        <x:v>2026-11-06T00:00:00.000Z</x:v>
      </x:c>
      <x:c r="F18" s="10" t="d">
        <x:v>2026-11-13T00:00:00.000Z</x:v>
      </x:c>
      <x:c r="G18" s="6" t="n">
        <x:f>F18-E18</x:f>
        <x:v>7</x:v>
      </x:c>
      <x:c r="H18" s="6" t="str">
        <x:v>Código de envío presente; integración real bloqueada</x:v>
      </x:c>
      <x:c r="I18" s="6" t="str">
        <x:v>Ventana original futura; sin aceptación anticipada</x:v>
      </x:c>
      <x:c r="J18" s="6" t="str">
        <x:f>IF(AND(J$5&gt;=$E18,J$5&lt;$F18),1,"")</x:f>
      </x:c>
      <x:c r="K18" s="6" t="str">
        <x:f>IF(AND(K$5&gt;=$E18,K$5&lt;$F18),1,"")</x:f>
      </x:c>
      <x:c r="L18" s="6" t="str">
        <x:f>IF(AND(L$5&gt;=$E18,L$5&lt;$F18),1,"")</x:f>
      </x:c>
      <x:c r="M18" s="6" t="str">
        <x:f>IF(AND(M$5&gt;=$E18,M$5&lt;$F18),1,"")</x:f>
      </x:c>
      <x:c r="N18" s="6" t="str">
        <x:f>IF(AND(N$5&gt;=$E18,N$5&lt;$F18),1,"")</x:f>
      </x:c>
      <x:c r="O18" s="6" t="str">
        <x:f>IF(AND(O$5&gt;=$E18,O$5&lt;$F18),1,"")</x:f>
      </x:c>
      <x:c r="P18" s="6" t="str">
        <x:f>IF(AND(P$5&gt;=$E18,P$5&lt;$F18),1,"")</x:f>
      </x:c>
      <x:c r="Q18" s="6" t="str">
        <x:f>IF(AND(Q$5&gt;=$E18,Q$5&lt;$F18),1,"")</x:f>
      </x:c>
      <x:c r="R18" s="6" t="str">
        <x:f>IF(AND(R$5&gt;=$E18,R$5&lt;$F18),1,"")</x:f>
      </x:c>
      <x:c r="S18" s="6" t="str">
        <x:f>IF(AND(S$5&gt;=$E18,S$5&lt;$F18),1,"")</x:f>
      </x:c>
      <x:c r="T18" s="6" t="str">
        <x:f>IF(AND(T$5&gt;=$E18,T$5&lt;$F18),1,"")</x:f>
      </x:c>
      <x:c r="U18" s="6" t="str">
        <x:f>IF(AND(U$5&gt;=$E18,U$5&lt;$F18),1,"")</x:f>
      </x:c>
      <x:c r="V18" s="6" t="n">
        <x:f>IF(AND(V$5&gt;=$E18,V$5&lt;$F18),1,"")</x:f>
        <x:v>1</x:v>
      </x:c>
      <x:c r="W18" s="6" t="str">
        <x:f>IF(AND(W$5&gt;=$E18,W$5&lt;$F18),1,"")</x:f>
      </x:c>
      <x:c r="X18" s="6" t="str">
        <x:f>IF(AND(X$5&gt;=$E18,X$5&lt;$F18),1,"")</x:f>
      </x:c>
      <x:c r="Y18" s="6" t="str">
        <x:f>IF(AND(Y$5&gt;=$E18,Y$5&lt;$F18),1,"")</x:f>
      </x:c>
      <x:c r="Z18" s="6" t="str">
        <x:f>IF(AND(Z$5&gt;=$E18,Z$5&lt;$F18),1,"")</x:f>
      </x:c>
      <x:c r="AA18" s="6" t="str">
        <x:f>IF(AND(AA$5&gt;=$E18,AA$5&lt;$F18),1,"")</x:f>
      </x:c>
    </x:row>
    <x:row r="19" ht="78" customHeight="1">
      <x:c r="A19" s="11" t="str">
        <x:v>Semana 14</x:v>
      </x:c>
      <x:c r="B19" s="11" t="str">
        <x:v>Pruebas de Alertas IoT en el Dashboard Web</x:v>
      </x:c>
      <x:c r="C19" s="11" t="str">
        <x:v>Fase 3: Integración IoT</x:v>
      </x:c>
      <x:c r="D19" s="11" t="str">
        <x:v>Dante Allendes</x:v>
      </x:c>
      <x:c r="E19" s="12" t="d">
        <x:v>2026-11-13T00:00:00.000Z</x:v>
      </x:c>
      <x:c r="F19" s="12" t="d">
        <x:v>2026-11-20T00:00:00.000Z</x:v>
      </x:c>
      <x:c r="G19" s="11" t="n">
        <x:f>F19-E19</x:f>
        <x:v>7</x:v>
      </x:c>
      <x:c r="H19" s="11" t="str">
        <x:v>Pendiente de implementación integral</x:v>
      </x:c>
      <x:c r="I19" s="11" t="str">
        <x:v>Ventana original futura; sin aceptación anticipada</x:v>
      </x:c>
      <x:c r="J19" s="6" t="str">
        <x:f>IF(AND(J$5&gt;=$E19,J$5&lt;$F19),1,"")</x:f>
      </x:c>
      <x:c r="K19" s="6" t="str">
        <x:f>IF(AND(K$5&gt;=$E19,K$5&lt;$F19),1,"")</x:f>
      </x:c>
      <x:c r="L19" s="6" t="str">
        <x:f>IF(AND(L$5&gt;=$E19,L$5&lt;$F19),1,"")</x:f>
      </x:c>
      <x:c r="M19" s="6" t="str">
        <x:f>IF(AND(M$5&gt;=$E19,M$5&lt;$F19),1,"")</x:f>
      </x:c>
      <x:c r="N19" s="6" t="str">
        <x:f>IF(AND(N$5&gt;=$E19,N$5&lt;$F19),1,"")</x:f>
      </x:c>
      <x:c r="O19" s="6" t="str">
        <x:f>IF(AND(O$5&gt;=$E19,O$5&lt;$F19),1,"")</x:f>
      </x:c>
      <x:c r="P19" s="6" t="str">
        <x:f>IF(AND(P$5&gt;=$E19,P$5&lt;$F19),1,"")</x:f>
      </x:c>
      <x:c r="Q19" s="6" t="str">
        <x:f>IF(AND(Q$5&gt;=$E19,Q$5&lt;$F19),1,"")</x:f>
      </x:c>
      <x:c r="R19" s="6" t="str">
        <x:f>IF(AND(R$5&gt;=$E19,R$5&lt;$F19),1,"")</x:f>
      </x:c>
      <x:c r="S19" s="6" t="str">
        <x:f>IF(AND(S$5&gt;=$E19,S$5&lt;$F19),1,"")</x:f>
      </x:c>
      <x:c r="T19" s="6" t="str">
        <x:f>IF(AND(T$5&gt;=$E19,T$5&lt;$F19),1,"")</x:f>
      </x:c>
      <x:c r="U19" s="6" t="str">
        <x:f>IF(AND(U$5&gt;=$E19,U$5&lt;$F19),1,"")</x:f>
      </x:c>
      <x:c r="V19" s="6" t="str">
        <x:f>IF(AND(V$5&gt;=$E19,V$5&lt;$F19),1,"")</x:f>
      </x:c>
      <x:c r="W19" s="6" t="n">
        <x:f>IF(AND(W$5&gt;=$E19,W$5&lt;$F19),1,"")</x:f>
        <x:v>1</x:v>
      </x:c>
      <x:c r="X19" s="6" t="str">
        <x:f>IF(AND(X$5&gt;=$E19,X$5&lt;$F19),1,"")</x:f>
      </x:c>
      <x:c r="Y19" s="6" t="str">
        <x:f>IF(AND(Y$5&gt;=$E19,Y$5&lt;$F19),1,"")</x:f>
      </x:c>
      <x:c r="Z19" s="6" t="str">
        <x:f>IF(AND(Z$5&gt;=$E19,Z$5&lt;$F19),1,"")</x:f>
      </x:c>
      <x:c r="AA19" s="6" t="str">
        <x:f>IF(AND(AA$5&gt;=$E19,AA$5&lt;$F19),1,"")</x:f>
      </x:c>
    </x:row>
    <x:row r="20" ht="78" customHeight="1">
      <x:c r="A20" s="6" t="str">
        <x:v>Semana 15</x:v>
      </x:c>
      <x:c r="B20" s="6" t="str">
        <x:v>Entrenamiento del Modelo de Reconocimiento de Materiales</x:v>
      </x:c>
      <x:c r="C20" s="6" t="str">
        <x:v>Fase 4: IA (Cámaras)</x:v>
      </x:c>
      <x:c r="D20" s="6" t="str">
        <x:v>Alejandro Fuentes</x:v>
      </x:c>
      <x:c r="E20" s="10" t="d">
        <x:v>2026-11-20T00:00:00.000Z</x:v>
      </x:c>
      <x:c r="F20" s="10" t="d">
        <x:v>2026-11-27T00:00:00.000Z</x:v>
      </x:c>
      <x:c r="G20" s="6" t="n">
        <x:f>F20-E20</x:f>
        <x:v>7</x:v>
      </x:c>
      <x:c r="H20" s="6" t="str">
        <x:v>Pendiente sin entrenamiento ni modelo</x:v>
      </x:c>
      <x:c r="I20" s="6" t="str">
        <x:v>Ventana original futura; sin aceptación anticipada</x:v>
      </x:c>
      <x:c r="J20" s="6" t="str">
        <x:f>IF(AND(J$5&gt;=$E20,J$5&lt;$F20),1,"")</x:f>
      </x:c>
      <x:c r="K20" s="6" t="str">
        <x:f>IF(AND(K$5&gt;=$E20,K$5&lt;$F20),1,"")</x:f>
      </x:c>
      <x:c r="L20" s="6" t="str">
        <x:f>IF(AND(L$5&gt;=$E20,L$5&lt;$F20),1,"")</x:f>
      </x:c>
      <x:c r="M20" s="6" t="str">
        <x:f>IF(AND(M$5&gt;=$E20,M$5&lt;$F20),1,"")</x:f>
      </x:c>
      <x:c r="N20" s="6" t="str">
        <x:f>IF(AND(N$5&gt;=$E20,N$5&lt;$F20),1,"")</x:f>
      </x:c>
      <x:c r="O20" s="6" t="str">
        <x:f>IF(AND(O$5&gt;=$E20,O$5&lt;$F20),1,"")</x:f>
      </x:c>
      <x:c r="P20" s="6" t="str">
        <x:f>IF(AND(P$5&gt;=$E20,P$5&lt;$F20),1,"")</x:f>
      </x:c>
      <x:c r="Q20" s="6" t="str">
        <x:f>IF(AND(Q$5&gt;=$E20,Q$5&lt;$F20),1,"")</x:f>
      </x:c>
      <x:c r="R20" s="6" t="str">
        <x:f>IF(AND(R$5&gt;=$E20,R$5&lt;$F20),1,"")</x:f>
      </x:c>
      <x:c r="S20" s="6" t="str">
        <x:f>IF(AND(S$5&gt;=$E20,S$5&lt;$F20),1,"")</x:f>
      </x:c>
      <x:c r="T20" s="6" t="str">
        <x:f>IF(AND(T$5&gt;=$E20,T$5&lt;$F20),1,"")</x:f>
      </x:c>
      <x:c r="U20" s="6" t="str">
        <x:f>IF(AND(U$5&gt;=$E20,U$5&lt;$F20),1,"")</x:f>
      </x:c>
      <x:c r="V20" s="6" t="str">
        <x:f>IF(AND(V$5&gt;=$E20,V$5&lt;$F20),1,"")</x:f>
      </x:c>
      <x:c r="W20" s="6" t="str">
        <x:f>IF(AND(W$5&gt;=$E20,W$5&lt;$F20),1,"")</x:f>
      </x:c>
      <x:c r="X20" s="6" t="n">
        <x:f>IF(AND(X$5&gt;=$E20,X$5&lt;$F20),1,"")</x:f>
        <x:v>1</x:v>
      </x:c>
      <x:c r="Y20" s="6" t="str">
        <x:f>IF(AND(Y$5&gt;=$E20,Y$5&lt;$F20),1,"")</x:f>
      </x:c>
      <x:c r="Z20" s="6" t="str">
        <x:f>IF(AND(Z$5&gt;=$E20,Z$5&lt;$F20),1,"")</x:f>
      </x:c>
      <x:c r="AA20" s="6" t="str">
        <x:f>IF(AND(AA$5&gt;=$E20,AA$5&lt;$F20),1,"")</x:f>
      </x:c>
    </x:row>
    <x:row r="21" ht="78" customHeight="1">
      <x:c r="A21" s="11" t="str">
        <x:v>Semana 16</x:v>
      </x:c>
      <x:c r="B21" s="11" t="str">
        <x:v>Implementación de script Python (OpenCV)</x:v>
      </x:c>
      <x:c r="C21" s="11" t="str">
        <x:v>Fase 4: IA (Cámaras)</x:v>
      </x:c>
      <x:c r="D21" s="11" t="str">
        <x:v>Alejandro Fuentes</x:v>
      </x:c>
      <x:c r="E21" s="12" t="d">
        <x:v>2026-11-27T00:00:00.000Z</x:v>
      </x:c>
      <x:c r="F21" s="12" t="d">
        <x:v>2026-12-04T00:00:00.000Z</x:v>
      </x:c>
      <x:c r="G21" s="11" t="n">
        <x:f>F21-E21</x:f>
        <x:v>7</x:v>
      </x:c>
      <x:c r="H21" s="11" t="str">
        <x:v>Scripts presentes; visión y volumen simulados</x:v>
      </x:c>
      <x:c r="I21" s="11" t="str">
        <x:v>Ventana original futura; sin aceptación anticipada</x:v>
      </x:c>
      <x:c r="J21" s="6" t="str">
        <x:f>IF(AND(J$5&gt;=$E21,J$5&lt;$F21),1,"")</x:f>
      </x:c>
      <x:c r="K21" s="6" t="str">
        <x:f>IF(AND(K$5&gt;=$E21,K$5&lt;$F21),1,"")</x:f>
      </x:c>
      <x:c r="L21" s="6" t="str">
        <x:f>IF(AND(L$5&gt;=$E21,L$5&lt;$F21),1,"")</x:f>
      </x:c>
      <x:c r="M21" s="6" t="str">
        <x:f>IF(AND(M$5&gt;=$E21,M$5&lt;$F21),1,"")</x:f>
      </x:c>
      <x:c r="N21" s="6" t="str">
        <x:f>IF(AND(N$5&gt;=$E21,N$5&lt;$F21),1,"")</x:f>
      </x:c>
      <x:c r="O21" s="6" t="str">
        <x:f>IF(AND(O$5&gt;=$E21,O$5&lt;$F21),1,"")</x:f>
      </x:c>
      <x:c r="P21" s="6" t="str">
        <x:f>IF(AND(P$5&gt;=$E21,P$5&lt;$F21),1,"")</x:f>
      </x:c>
      <x:c r="Q21" s="6" t="str">
        <x:f>IF(AND(Q$5&gt;=$E21,Q$5&lt;$F21),1,"")</x:f>
      </x:c>
      <x:c r="R21" s="6" t="str">
        <x:f>IF(AND(R$5&gt;=$E21,R$5&lt;$F21),1,"")</x:f>
      </x:c>
      <x:c r="S21" s="6" t="str">
        <x:f>IF(AND(S$5&gt;=$E21,S$5&lt;$F21),1,"")</x:f>
      </x:c>
      <x:c r="T21" s="6" t="str">
        <x:f>IF(AND(T$5&gt;=$E21,T$5&lt;$F21),1,"")</x:f>
      </x:c>
      <x:c r="U21" s="6" t="str">
        <x:f>IF(AND(U$5&gt;=$E21,U$5&lt;$F21),1,"")</x:f>
      </x:c>
      <x:c r="V21" s="6" t="str">
        <x:f>IF(AND(V$5&gt;=$E21,V$5&lt;$F21),1,"")</x:f>
      </x:c>
      <x:c r="W21" s="6" t="str">
        <x:f>IF(AND(W$5&gt;=$E21,W$5&lt;$F21),1,"")</x:f>
      </x:c>
      <x:c r="X21" s="6" t="str">
        <x:f>IF(AND(X$5&gt;=$E21,X$5&lt;$F21),1,"")</x:f>
      </x:c>
      <x:c r="Y21" s="6" t="n">
        <x:f>IF(AND(Y$5&gt;=$E21,Y$5&lt;$F21),1,"")</x:f>
        <x:v>1</x:v>
      </x:c>
      <x:c r="Z21" s="6" t="str">
        <x:f>IF(AND(Z$5&gt;=$E21,Z$5&lt;$F21),1,"")</x:f>
      </x:c>
      <x:c r="AA21" s="6" t="str">
        <x:f>IF(AND(AA$5&gt;=$E21,AA$5&lt;$F21),1,"")</x:f>
      </x:c>
    </x:row>
    <x:row r="22" ht="78" customHeight="1">
      <x:c r="A22" s="6" t="str">
        <x:v>Semana 17</x:v>
      </x:c>
      <x:c r="B22" s="6" t="str">
        <x:v>Integración de la IA con el módulo de inventario ERP</x:v>
      </x:c>
      <x:c r="C22" s="6" t="str">
        <x:v>Fase 4: IA (Cámaras)</x:v>
      </x:c>
      <x:c r="D22" s="6" t="str">
        <x:v>Alejandro Fuentes</x:v>
      </x:c>
      <x:c r="E22" s="10" t="d">
        <x:v>2026-12-04T00:00:00.000Z</x:v>
      </x:c>
      <x:c r="F22" s="10" t="d">
        <x:v>2026-12-11T00:00:00.000Z</x:v>
      </x:c>
      <x:c r="G22" s="6" t="n">
        <x:f>F22-E22</x:f>
        <x:v>7</x:v>
      </x:c>
      <x:c r="H22" s="6" t="str">
        <x:v>Pendiente sin integración IA/inventario</x:v>
      </x:c>
      <x:c r="I22" s="6" t="str">
        <x:v>Ventana original futura; sin aceptación anticipada</x:v>
      </x:c>
      <x:c r="J22" s="6" t="str">
        <x:f>IF(AND(J$5&gt;=$E22,J$5&lt;$F22),1,"")</x:f>
      </x:c>
      <x:c r="K22" s="6" t="str">
        <x:f>IF(AND(K$5&gt;=$E22,K$5&lt;$F22),1,"")</x:f>
      </x:c>
      <x:c r="L22" s="6" t="str">
        <x:f>IF(AND(L$5&gt;=$E22,L$5&lt;$F22),1,"")</x:f>
      </x:c>
      <x:c r="M22" s="6" t="str">
        <x:f>IF(AND(M$5&gt;=$E22,M$5&lt;$F22),1,"")</x:f>
      </x:c>
      <x:c r="N22" s="6" t="str">
        <x:f>IF(AND(N$5&gt;=$E22,N$5&lt;$F22),1,"")</x:f>
      </x:c>
      <x:c r="O22" s="6" t="str">
        <x:f>IF(AND(O$5&gt;=$E22,O$5&lt;$F22),1,"")</x:f>
      </x:c>
      <x:c r="P22" s="6" t="str">
        <x:f>IF(AND(P$5&gt;=$E22,P$5&lt;$F22),1,"")</x:f>
      </x:c>
      <x:c r="Q22" s="6" t="str">
        <x:f>IF(AND(Q$5&gt;=$E22,Q$5&lt;$F22),1,"")</x:f>
      </x:c>
      <x:c r="R22" s="6" t="str">
        <x:f>IF(AND(R$5&gt;=$E22,R$5&lt;$F22),1,"")</x:f>
      </x:c>
      <x:c r="S22" s="6" t="str">
        <x:f>IF(AND(S$5&gt;=$E22,S$5&lt;$F22),1,"")</x:f>
      </x:c>
      <x:c r="T22" s="6" t="str">
        <x:f>IF(AND(T$5&gt;=$E22,T$5&lt;$F22),1,"")</x:f>
      </x:c>
      <x:c r="U22" s="6" t="str">
        <x:f>IF(AND(U$5&gt;=$E22,U$5&lt;$F22),1,"")</x:f>
      </x:c>
      <x:c r="V22" s="6" t="str">
        <x:f>IF(AND(V$5&gt;=$E22,V$5&lt;$F22),1,"")</x:f>
      </x:c>
      <x:c r="W22" s="6" t="str">
        <x:f>IF(AND(W$5&gt;=$E22,W$5&lt;$F22),1,"")</x:f>
      </x:c>
      <x:c r="X22" s="6" t="str">
        <x:f>IF(AND(X$5&gt;=$E22,X$5&lt;$F22),1,"")</x:f>
      </x:c>
      <x:c r="Y22" s="6" t="str">
        <x:f>IF(AND(Y$5&gt;=$E22,Y$5&lt;$F22),1,"")</x:f>
      </x:c>
      <x:c r="Z22" s="6" t="n">
        <x:f>IF(AND(Z$5&gt;=$E22,Z$5&lt;$F22),1,"")</x:f>
        <x:v>1</x:v>
      </x:c>
      <x:c r="AA22" s="6" t="str">
        <x:f>IF(AND(AA$5&gt;=$E22,AA$5&lt;$F22),1,"")</x:f>
      </x:c>
    </x:row>
    <x:row r="23" ht="78" customHeight="1">
      <x:c r="A23" s="11" t="str">
        <x:v>Semana 18</x:v>
      </x:c>
      <x:c r="B23" s="11" t="str">
        <x:v>Pruebas de Integración Generales y Entrega Final de Tesis</x:v>
      </x:c>
      <x:c r="C23" s="11" t="str">
        <x:v>Fase 5: Cierre</x:v>
      </x:c>
      <x:c r="D23" s="11" t="str">
        <x:v>Dante Allendes</x:v>
      </x:c>
      <x:c r="E23" s="12" t="d">
        <x:v>2026-12-11T00:00:00.000Z</x:v>
      </x:c>
      <x:c r="F23" s="12" t="d">
        <x:v>2026-12-18T00:00:00.000Z</x:v>
      </x:c>
      <x:c r="G23" s="11" t="n">
        <x:f>F23-E23</x:f>
        <x:v>7</x:v>
      </x:c>
      <x:c r="H23" s="11" t="str">
        <x:v>Pruebas locales parciales; entrega final pendiente</x:v>
      </x:c>
      <x:c r="I23" s="11" t="str">
        <x:v>Ventana original futura; sin aceptación anticipada</x:v>
      </x:c>
      <x:c r="J23" s="6" t="str">
        <x:f>IF(AND(J$5&gt;=$E23,J$5&lt;$F23),1,"")</x:f>
      </x:c>
      <x:c r="K23" s="6" t="str">
        <x:f>IF(AND(K$5&gt;=$E23,K$5&lt;$F23),1,"")</x:f>
      </x:c>
      <x:c r="L23" s="6" t="str">
        <x:f>IF(AND(L$5&gt;=$E23,L$5&lt;$F23),1,"")</x:f>
      </x:c>
      <x:c r="M23" s="6" t="str">
        <x:f>IF(AND(M$5&gt;=$E23,M$5&lt;$F23),1,"")</x:f>
      </x:c>
      <x:c r="N23" s="6" t="str">
        <x:f>IF(AND(N$5&gt;=$E23,N$5&lt;$F23),1,"")</x:f>
      </x:c>
      <x:c r="O23" s="6" t="str">
        <x:f>IF(AND(O$5&gt;=$E23,O$5&lt;$F23),1,"")</x:f>
      </x:c>
      <x:c r="P23" s="6" t="str">
        <x:f>IF(AND(P$5&gt;=$E23,P$5&lt;$F23),1,"")</x:f>
      </x:c>
      <x:c r="Q23" s="6" t="str">
        <x:f>IF(AND(Q$5&gt;=$E23,Q$5&lt;$F23),1,"")</x:f>
      </x:c>
      <x:c r="R23" s="6" t="str">
        <x:f>IF(AND(R$5&gt;=$E23,R$5&lt;$F23),1,"")</x:f>
      </x:c>
      <x:c r="S23" s="6" t="str">
        <x:f>IF(AND(S$5&gt;=$E23,S$5&lt;$F23),1,"")</x:f>
      </x:c>
      <x:c r="T23" s="6" t="str">
        <x:f>IF(AND(T$5&gt;=$E23,T$5&lt;$F23),1,"")</x:f>
      </x:c>
      <x:c r="U23" s="6" t="str">
        <x:f>IF(AND(U$5&gt;=$E23,U$5&lt;$F23),1,"")</x:f>
      </x:c>
      <x:c r="V23" s="6" t="str">
        <x:f>IF(AND(V$5&gt;=$E23,V$5&lt;$F23),1,"")</x:f>
      </x:c>
      <x:c r="W23" s="6" t="str">
        <x:f>IF(AND(W$5&gt;=$E23,W$5&lt;$F23),1,"")</x:f>
      </x:c>
      <x:c r="X23" s="6" t="str">
        <x:f>IF(AND(X$5&gt;=$E23,X$5&lt;$F23),1,"")</x:f>
      </x:c>
      <x:c r="Y23" s="6" t="str">
        <x:f>IF(AND(Y$5&gt;=$E23,Y$5&lt;$F23),1,"")</x:f>
      </x:c>
      <x:c r="Z23" s="6" t="str">
        <x:f>IF(AND(Z$5&gt;=$E23,Z$5&lt;$F23),1,"")</x:f>
      </x:c>
      <x:c r="AA23" s="6" t="n">
        <x:f>IF(AND(AA$5&gt;=$E23,AA$5&lt;$F23),1,"")</x:f>
        <x:v>1</x:v>
      </x:c>
    </x:row>
  </x:sheetData>
  <x:conditionalFormatting sqref="J6:AA23">
    <x:cfRule type="cellIs" dxfId="0" priority="1" operator="equal">
      <x:formula>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17" hidden="0" customWidth="1"/>
    <x:col min="4" max="4" width="29" hidden="0" customWidth="1"/>
    <x:col min="5" max="5" width="60" hidden="0" customWidth="1"/>
    <x:col min="6" max="6" width="65" hidden="0" customWidth="1"/>
    <x:col min="7" max="7" width="28" hidden="0" customWidth="1"/>
    <x:col min="8" max="8" width="80" hidden="0" customWidth="1"/>
    <x:col min="9" max="9" width="80" hidden="0" customWidth="1"/>
    <x:col min="10" max="10" width="50" hidden="0" customWidth="1"/>
    <x:col min="11" max="11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8" customHeight="1">
      <x:c r="A2" s="2" t="str">
        <x:v>Seguimiento de actividades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2" customHeight="1">
      <x:c r="A3" s="3" t="str">
        <x:v>Fuente: carta_gantt_braxrecicla(1).csv. Fechas originales preservadas.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4" customHeight="1">
      <x:c r="A5" s="16" t="str">
        <x:v>Semana</x:v>
      </x:c>
      <x:c r="B5" s="16" t="str">
        <x:v>Fecha Inicio</x:v>
      </x:c>
      <x:c r="C5" s="16" t="str">
        <x:v>Fecha Fin (Viernes)</x:v>
      </x:c>
      <x:c r="D5" s="16" t="str">
        <x:v>Fase</x:v>
      </x:c>
      <x:c r="E5" s="16" t="str">
        <x:v>Actividad Principal</x:v>
      </x:c>
      <x:c r="F5" s="16" t="str">
        <x:v>Estado al 19/10/2026</x:v>
      </x:c>
      <x:c r="G5" s="16" t="str">
        <x:v>Responsable planificado (propuesto)</x:v>
      </x:c>
      <x:c r="H5" s="16" t="str">
        <x:v>Trabajo comprobado y limitaciones</x:v>
      </x:c>
      <x:c r="I5" s="16" t="str">
        <x:v>Ajuste propuesto (sin fecha aprobada)</x:v>
      </x:c>
      <x:c r="J5" s="16" t="str">
        <x:v>Situacion del plazo original</x:v>
      </x:c>
      <x:c r="K5" s="16" t="str">
        <x:v>Fecha de corte</x:v>
      </x:c>
    </x:row>
    <x:row r="6" ht="40" customHeight="1">
      <x:c r="A6" s="14" t="str">
        <x:v>Semana 1</x:v>
      </x:c>
      <x:c r="B6" s="14" t="str">
        <x:v>14/08/2026</x:v>
      </x:c>
      <x:c r="C6" s="14" t="str">
        <x:v>21/08/2026</x:v>
      </x:c>
      <x:c r="D6" s="14" t="str">
        <x:v>Fase 1: Plataforma Web</x:v>
      </x:c>
      <x:c r="E6" s="14" t="str">
        <x:v>Levantamiento de Requisitos y Diseño UI/UX</x:v>
      </x:c>
      <x:c r="F6" s="14" t="str">
        <x:v>Parcial; aceptación de requisitos no documentada</x:v>
      </x:c>
      <x:c r="G6" s="14" t="str">
        <x:v>Dante Allendes</x:v>
      </x:c>
      <x:c r="H6" s="14" t="str">
        <x:v>Landing y formularios existen; no hay acta de validación de requisitos o UAT.</x:v>
      </x:c>
      <x:c r="I6" s="14" t="str">
        <x:v>Validar requisitos y alcance con el equipo, registrar criterios y aceptación.</x:v>
      </x:c>
      <x:c r="J6" s="14" t="str">
        <x:v>Plazo original vencido; aceptación no acreditada</x:v>
      </x:c>
      <x:c r="K6" s="14" t="str">
        <x:v>19/10/2026</x:v>
      </x:c>
    </x:row>
    <x:row r="7" ht="40" customHeight="1">
      <x:c r="A7" s="17" t="str">
        <x:v>Semana 2</x:v>
      </x:c>
      <x:c r="B7" s="17" t="str">
        <x:v>21/08/2026</x:v>
      </x:c>
      <x:c r="C7" s="17" t="str">
        <x:v>28/08/2026</x:v>
      </x:c>
      <x:c r="D7" s="17" t="str">
        <x:v>Fase 1: Plataforma Web</x:v>
      </x:c>
      <x:c r="E7" s="17" t="str">
        <x:v>Configuración de Base de Datos (PostgreSQL/Supabase)</x:v>
      </x:c>
      <x:c r="F7" s="17" t="str">
        <x:v>Implementada en SQL; bloqueada para validación real</x:v>
      </x:c>
      <x:c r="G7" s="17" t="str">
        <x:v>Alejandro Fuentes</x:v>
      </x:c>
      <x:c r="H7" s="17" t="str">
        <x:v>Tres tablas y cliente Supabase disponibles; instancia, variables y RLS remotas no verificadas.</x:v>
      </x:c>
      <x:c r="I7" s="17" t="str">
        <x:v>Preparar entorno de prueba y verificar esquema y permisos sin abrir acceso de producción.</x:v>
      </x:c>
      <x:c r="J7" s="17" t="str">
        <x:v>Plazo original vencido; aceptación no acreditada</x:v>
      </x:c>
      <x:c r="K7" s="17" t="str">
        <x:v>19/10/2026</x:v>
      </x:c>
    </x:row>
    <x:row r="8" ht="40" customHeight="1">
      <x:c r="A8" s="14" t="str">
        <x:v>Semana 3</x:v>
      </x:c>
      <x:c r="B8" s="14" t="str">
        <x:v>28/08/2026</x:v>
      </x:c>
      <x:c r="C8" s="14" t="str">
        <x:v>04/09/2026</x:v>
      </x:c>
      <x:c r="D8" s="14" t="str">
        <x:v>Fase 1: Plataforma Web</x:v>
      </x:c>
      <x:c r="E8" s="14" t="str">
        <x:v>Desarrollo de Autenticación y Roles (Admin/Operario/Cliente)</x:v>
      </x:c>
      <x:c r="F8" s="14" t="str">
        <x:v>Pendiente sin implementación</x:v>
      </x:c>
      <x:c r="G8" s="14" t="str">
        <x:v>Alejandro Fuentes</x:v>
      </x:c>
      <x:c r="H8" s="14" t="str">
        <x:v>No hay login, sesiones ni RBAC; Admin es texto fijo.</x:v>
      </x:c>
      <x:c r="I8" s="14" t="str">
        <x:v>Implementar controles o acordar exclusión explícita, manteniendo visible el plazo incumplido.</x:v>
      </x:c>
      <x:c r="J8" s="14" t="str">
        <x:v>Plazo original vencido; aceptación no acreditada</x:v>
      </x:c>
      <x:c r="K8" s="14" t="str">
        <x:v>19/10/2026</x:v>
      </x:c>
    </x:row>
    <x:row r="9" ht="40" customHeight="1">
      <x:c r="A9" s="17" t="str">
        <x:v>Semana 4</x:v>
      </x:c>
      <x:c r="B9" s="17" t="str">
        <x:v>04/09/2026</x:v>
      </x:c>
      <x:c r="C9" s="17" t="str">
        <x:v>11/09/2026</x:v>
      </x:c>
      <x:c r="D9" s="17" t="str">
        <x:v>Fase 1: Plataforma Web</x:v>
      </x:c>
      <x:c r="E9" s="17" t="str">
        <x:v>Desarrollo del Módulo de Inventario (Frontend y Backend)</x:v>
      </x:c>
      <x:c r="F9" s="17" t="str">
        <x:v>Pendiente sin implementación</x:v>
      </x:c>
      <x:c r="G9" s="17" t="str">
        <x:v>Dante Allendes</x:v>
      </x:c>
      <x:c r="H9" s="17" t="str">
        <x:v>No hay stock ni movimientos; las sumatorias del dashboard no son inventario.</x:v>
      </x:c>
      <x:c r="I9" s="17" t="str">
        <x:v>Definir modelo de inventario y aceptación, o registrar exclusión acordada.</x:v>
      </x:c>
      <x:c r="J9" s="17" t="str">
        <x:v>Plazo original vencido; aceptación no acreditada</x:v>
      </x:c>
      <x:c r="K9" s="17" t="str">
        <x:v>19/10/2026</x:v>
      </x:c>
    </x:row>
    <x:row r="10" ht="40" customHeight="1">
      <x:c r="A10" s="14" t="str">
        <x:v>Semana 5</x:v>
      </x:c>
      <x:c r="B10" s="14" t="str">
        <x:v>11/09/2026</x:v>
      </x:c>
      <x:c r="C10" s="14" t="str">
        <x:v>18/09/2026</x:v>
      </x:c>
      <x:c r="D10" s="14" t="str">
        <x:v>Fase 1: Plataforma Web</x:v>
      </x:c>
      <x:c r="E10" s="14" t="str">
        <x:v>Desarrollo de Generación Automática de Certificados (PDF)</x:v>
      </x:c>
      <x:c r="F10" s="14" t="str">
        <x:v>Incompleta; hash y HTML probados con REST simulado</x:v>
      </x:c>
      <x:c r="G10" s="14" t="str">
        <x:v>Alejandro Fuentes</x:v>
      </x:c>
      <x:c r="H10" s="14" t="str">
        <x:v>Vista y SHA-256 verificados; PDF, firma y verificador pendientes.</x:v>
      </x:c>
      <x:c r="I10" s="14" t="str">
        <x:v>Completar descarga y reglas acordadas; no presentar rótulos como firma o SINADER real.</x:v>
      </x:c>
      <x:c r="J10" s="14" t="str">
        <x:v>Plazo original vencido; aceptación no acreditada</x:v>
      </x:c>
      <x:c r="K10" s="14" t="str">
        <x:v>19/10/2026</x:v>
      </x:c>
    </x:row>
    <x:row r="11" ht="40" customHeight="1">
      <x:c r="A11" s="17" t="str">
        <x:v>Semana 6</x:v>
      </x:c>
      <x:c r="B11" s="17" t="str">
        <x:v>18/09/2026</x:v>
      </x:c>
      <x:c r="C11" s="17" t="str">
        <x:v>25/09/2026</x:v>
      </x:c>
      <x:c r="D11" s="17" t="str">
        <x:v>Fase 1: Plataforma Web</x:v>
      </x:c>
      <x:c r="E11" s="17" t="str">
        <x:v>Pruebas QA Fase 1 y Ajustes</x:v>
      </x:c>
      <x:c r="F11" s="17" t="str">
        <x:v>Parcial; sin aceptación de fase en fecha original</x:v>
      </x:c>
      <x:c r="G11" s="17" t="str">
        <x:v>Alejandro Fuentes</x:v>
      </x:c>
      <x:c r="H11" s="17" t="str">
        <x:v>Hay pruebas locales del 19/10/2026 con fallos abiertos; no un cierre QA de septiembre.</x:v>
      </x:c>
      <x:c r="I11" s="17" t="str">
        <x:v>Corregir hallazgos y ejecutar aceptación de fase, sin retrofechar resultados.</x:v>
      </x:c>
      <x:c r="J11" s="17" t="str">
        <x:v>Plazo original vencido; aceptación no acreditada</x:v>
      </x:c>
      <x:c r="K11" s="17" t="str">
        <x:v>19/10/2026</x:v>
      </x:c>
    </x:row>
    <x:row r="12" ht="40" customHeight="1">
      <x:c r="A12" s="14" t="str">
        <x:v>Semana 7</x:v>
      </x:c>
      <x:c r="B12" s="14" t="str">
        <x:v>25/09/2026</x:v>
      </x:c>
      <x:c r="C12" s="14" t="str">
        <x:v>02/10/2026</x:v>
      </x:c>
      <x:c r="D12" s="14" t="str">
        <x:v>Fase 2: Logística y GPS</x:v>
      </x:c>
      <x:c r="E12" s="14" t="str">
        <x:v>Configuración de Mapbox/Google Maps API</x:v>
      </x:c>
      <x:c r="F12" s="14" t="str">
        <x:v>Parcial; iframe verificado, Places incompleto</x:v>
      </x:c>
      <x:c r="G12" s="14" t="str">
        <x:v>Dante Allendes</x:v>
      </x:c>
      <x:c r="H12" s="14" t="str">
        <x:v>Mapa fijo carga; falta cargador Places y GPS real.</x:v>
      </x:c>
      <x:c r="I12" s="14" t="str">
        <x:v>Resolver tipos y autocompletado, y separar mapa fijo de seguimiento.</x:v>
      </x:c>
      <x:c r="J12" s="14" t="str">
        <x:v>Plazo original vencido; aceptación no acreditada</x:v>
      </x:c>
      <x:c r="K12" s="14" t="str">
        <x:v>19/10/2026</x:v>
      </x:c>
    </x:row>
    <x:row r="13" ht="40" customHeight="1">
      <x:c r="A13" s="17" t="str">
        <x:v>Semana 8</x:v>
      </x:c>
      <x:c r="B13" s="17" t="str">
        <x:v>02/10/2026</x:v>
      </x:c>
      <x:c r="C13" s="17" t="str">
        <x:v>09/10/2026</x:v>
      </x:c>
      <x:c r="D13" s="17" t="str">
        <x:v>Fase 2: Logística y GPS</x:v>
      </x:c>
      <x:c r="E13" s="17" t="str">
        <x:v>Desarrollo del Panel Command Center para Admin</x:v>
      </x:c>
      <x:c r="F13" s="17" t="str">
        <x:v>Implementada y verificada con servicio simulado; parcial</x:v>
      </x:c>
      <x:c r="G13" s="17" t="str">
        <x:v>Dante Allendes</x:v>
      </x:c>
      <x:c r="H13" s="17" t="str">
        <x:v>ERP compila; lectura, filtros y polling locales comprobados; sin acceso protegido ni GPS real.</x:v>
      </x:c>
      <x:c r="I13" s="17" t="str">
        <x:v>Completar controles, errores y métricas; validar datos del servicio real.</x:v>
      </x:c>
      <x:c r="J13" s="17" t="str">
        <x:v>Plazo original vencido; aceptación no acreditada</x:v>
      </x:c>
      <x:c r="K13" s="17" t="str">
        <x:v>19/10/2026</x:v>
      </x:c>
    </x:row>
    <x:row r="14" ht="40" customHeight="1">
      <x:c r="A14" s="14" t="str">
        <x:v>Semana 9</x:v>
      </x:c>
      <x:c r="B14" s="14" t="str">
        <x:v>09/10/2026</x:v>
      </x:c>
      <x:c r="C14" s="14" t="str">
        <x:v>16/10/2026</x:v>
      </x:c>
      <x:c r="D14" s="14" t="str">
        <x:v>Fase 2: Logística y GPS</x:v>
      </x:c>
      <x:c r="E14" s="14" t="str">
        <x:v>Desarrollo de Vista de Seguimiento para Cliente</x:v>
      </x:c>
      <x:c r="F14" s="14" t="str">
        <x:v>Pendiente sin implementación</x:v>
      </x:c>
      <x:c r="G14" s="14" t="str">
        <x:v>Dante Allendes</x:v>
      </x:c>
      <x:c r="H14" s="14" t="str">
        <x:v>No hay portal privado ni mapa ciudadano de seguimiento.</x:v>
      </x:c>
      <x:c r="I14" s="14" t="str">
        <x:v>Ratificar alcance y desarrollar flujo o declararlo pendiente de entrega.</x:v>
      </x:c>
      <x:c r="J14" s="14" t="str">
        <x:v>Plazo original vencido; aceptación no acreditada</x:v>
      </x:c>
      <x:c r="K14" s="14" t="str">
        <x:v>19/10/2026</x:v>
      </x:c>
    </x:row>
    <x:row r="15" ht="40" customHeight="1">
      <x:c r="A15" s="17" t="str">
        <x:v>Semana 10</x:v>
      </x:c>
      <x:c r="B15" s="17" t="str">
        <x:v>16/10/2026</x:v>
      </x:c>
      <x:c r="C15" s="17" t="str">
        <x:v>23/10/2026</x:v>
      </x:c>
      <x:c r="D15" s="17" t="str">
        <x:v>Fase 2: Logística y GPS</x:v>
      </x:c>
      <x:c r="E15" s="17" t="str">
        <x:v>Conexión WebSockets y Pruebas en Tiempo Real</x:v>
      </x:c>
      <x:c r="F15" s="17" t="str">
        <x:v>Código implementado; Realtime bloqueado por servicio</x:v>
      </x:c>
      <x:c r="G15" s="17" t="str">
        <x:v>Alejandro Fuentes</x:v>
      </x:c>
      <x:c r="H15" s="17" t="str">
        <x:v>Polling 37 a 84 comprobado en REST sin WebSockets; suscripciones no validadas en Supabase.</x:v>
      </x:c>
      <x:c r="I15" s="17" t="str">
        <x:v>Identificar instancia/publicación de prueba y verificar eventos y desconexión.</x:v>
      </x:c>
      <x:c r="J15" s="17" t="str">
        <x:v>Dentro de ventana original; aceptación pendiente</x:v>
      </x:c>
      <x:c r="K15" s="17" t="str">
        <x:v>19/10/2026</x:v>
      </x:c>
    </x:row>
    <x:row r="16" ht="40" customHeight="1">
      <x:c r="A16" s="14" t="str">
        <x:v>Semana 11</x:v>
      </x:c>
      <x:c r="B16" s="14" t="str">
        <x:v>23/10/2026</x:v>
      </x:c>
      <x:c r="C16" s="14" t="str">
        <x:v>30/10/2026</x:v>
      </x:c>
      <x:c r="D16" s="14" t="str">
        <x:v>Fase 3: Integración IoT</x:v>
      </x:c>
      <x:c r="E16" s="14" t="str">
        <x:v>Diseño de arquitectura de hardware (Microcontroladores)</x:v>
      </x:c>
      <x:c r="F16" s="14" t="str">
        <x:v>Parcial; diseño físico completo por confirmar</x:v>
      </x:c>
      <x:c r="G16" s="14" t="str">
        <x:v>Alejandro Fuentes</x:v>
      </x:c>
      <x:c r="H16" s="14" t="str">
        <x:v>Hay lector Python RS-232; videos físicos reportados, no revisados. Microcontrolador no acreditado.</x:v>
      </x:c>
      <x:c r="I16" s="14" t="str">
        <x:v>Documentar equipo, interfaz, puerto, protocolo y procedencia de la lectura.</x:v>
      </x:c>
      <x:c r="J16" s="14" t="str">
        <x:v>Ventana original futura; sin aceptación anticipada</x:v>
      </x:c>
      <x:c r="K16" s="14" t="str">
        <x:v>19/10/2026</x:v>
      </x:c>
    </x:row>
    <x:row r="17" ht="40" customHeight="1">
      <x:c r="A17" s="17" t="str">
        <x:v>Semana 12</x:v>
      </x:c>
      <x:c r="B17" s="17" t="str">
        <x:v>30/10/2026</x:v>
      </x:c>
      <x:c r="C17" s="17" t="str">
        <x:v>06/11/2026</x:v>
      </x:c>
      <x:c r="D17" s="17" t="str">
        <x:v>Fase 3: Integración IoT</x:v>
      </x:c>
      <x:c r="E17" s="17" t="str">
        <x:v>Programación de Sensores de Radiación/Peso en C/C++</x:v>
      </x:c>
      <x:c r="F17" s="17" t="str">
        <x:v>Peso parcial en Python; radiación pendiente</x:v>
      </x:c>
      <x:c r="G17" s="17" t="str">
        <x:v>Alejandro Fuentes</x:v>
      </x:c>
      <x:c r="H17" s="17" t="str">
        <x:v>No hay firmware C/C++ o sensor de radiación implementado; parser Python probado.</x:v>
      </x:c>
      <x:c r="I17" s="17" t="str">
        <x:v>Ratificar lenguaje y alcance de radiación; incorporar videos sin atribuir calibración.</x:v>
      </x:c>
      <x:c r="J17" s="17" t="str">
        <x:v>Ventana original futura; sin aceptación anticipada</x:v>
      </x:c>
      <x:c r="K17" s="17" t="str">
        <x:v>19/10/2026</x:v>
      </x:c>
    </x:row>
    <x:row r="18" ht="40" customHeight="1">
      <x:c r="A18" s="14" t="str">
        <x:v>Semana 13</x:v>
      </x:c>
      <x:c r="B18" s="14" t="str">
        <x:v>06/11/2026</x:v>
      </x:c>
      <x:c r="C18" s="14" t="str">
        <x:v>13/11/2026</x:v>
      </x:c>
      <x:c r="D18" s="14" t="str">
        <x:v>Fase 3: Integración IoT</x:v>
      </x:c>
      <x:c r="E18" s="14" t="str">
        <x:v>Conexión de Sensores a la Base de Datos (Supabase)</x:v>
      </x:c>
      <x:c r="F18" s="14" t="str">
        <x:v>Código de envío presente; integración real bloqueada</x:v>
      </x:c>
      <x:c r="G18" s="14" t="str">
        <x:v>Alejandro Fuentes</x:v>
      </x:c>
      <x:c r="H18" s="14" t="str">
        <x:v>No hay guardado remoto comprobado; visor usa tabla/campo distintos del SQL.</x:v>
      </x:c>
      <x:c r="I18" s="14" t="str">
        <x:v>Corregir contrato y probar lectura y persistencia por separado en entorno autorizado.</x:v>
      </x:c>
      <x:c r="J18" s="14" t="str">
        <x:v>Ventana original futura; sin aceptación anticipada</x:v>
      </x:c>
      <x:c r="K18" s="14" t="str">
        <x:v>19/10/2026</x:v>
      </x:c>
    </x:row>
    <x:row r="19" ht="40" customHeight="1">
      <x:c r="A19" s="17" t="str">
        <x:v>Semana 14</x:v>
      </x:c>
      <x:c r="B19" s="17" t="str">
        <x:v>13/11/2026</x:v>
      </x:c>
      <x:c r="C19" s="17" t="str">
        <x:v>20/11/2026</x:v>
      </x:c>
      <x:c r="D19" s="17" t="str">
        <x:v>Fase 3: Integración IoT</x:v>
      </x:c>
      <x:c r="E19" s="17" t="str">
        <x:v>Pruebas de Alertas IoT en el Dashboard Web</x:v>
      </x:c>
      <x:c r="F19" s="17" t="str">
        <x:v>Pendiente de implementación integral</x:v>
      </x:c>
      <x:c r="G19" s="17" t="str">
        <x:v>Dante Allendes</x:v>
      </x:c>
      <x:c r="H19" s="17" t="str">
        <x:v>No hay prueba de alertas de batería, radiación, GPS o IA reales.</x:v>
      </x:c>
      <x:c r="I19" s="17" t="str">
        <x:v>Definir eventos y respuesta esperada antes de implementar y probar alertas.</x:v>
      </x:c>
      <x:c r="J19" s="17" t="str">
        <x:v>Ventana original futura; sin aceptación anticipada</x:v>
      </x:c>
      <x:c r="K19" s="17" t="str">
        <x:v>19/10/2026</x:v>
      </x:c>
    </x:row>
    <x:row r="20" ht="40" customHeight="1">
      <x:c r="A20" s="14" t="str">
        <x:v>Semana 15</x:v>
      </x:c>
      <x:c r="B20" s="14" t="str">
        <x:v>20/11/2026</x:v>
      </x:c>
      <x:c r="C20" s="14" t="str">
        <x:v>27/11/2026</x:v>
      </x:c>
      <x:c r="D20" s="14" t="str">
        <x:v>Fase 4: IA (Cámaras)</x:v>
      </x:c>
      <x:c r="E20" s="14" t="str">
        <x:v>Entrenamiento del Modelo de Reconocimiento de Materiales</x:v>
      </x:c>
      <x:c r="F20" s="14" t="str">
        <x:v>Pendiente sin entrenamiento ni modelo</x:v>
      </x:c>
      <x:c r="G20" s="14" t="str">
        <x:v>Alejandro Fuentes</x:v>
      </x:c>
      <x:c r="H20" s="14" t="str">
        <x:v>Sin dataset, pesos o evaluación; volumetría fija/aleatoria.</x:v>
      </x:c>
      <x:c r="I20" s="14" t="str">
        <x:v>Acordar simulación para entrega o definir modelo, datos y evaluación alcanzables.</x:v>
      </x:c>
      <x:c r="J20" s="14" t="str">
        <x:v>Ventana original futura; sin aceptación anticipada</x:v>
      </x:c>
      <x:c r="K20" s="14" t="str">
        <x:v>19/10/2026</x:v>
      </x:c>
    </x:row>
    <x:row r="21" ht="40" customHeight="1">
      <x:c r="A21" s="17" t="str">
        <x:v>Semana 16</x:v>
      </x:c>
      <x:c r="B21" s="17" t="str">
        <x:v>27/11/2026</x:v>
      </x:c>
      <x:c r="C21" s="17" t="str">
        <x:v>04/12/2026</x:v>
      </x:c>
      <x:c r="D21" s="17" t="str">
        <x:v>Fase 4: IA (Cámaras)</x:v>
      </x:c>
      <x:c r="E21" s="17" t="str">
        <x:v>Implementación de script Python (OpenCV)</x:v>
      </x:c>
      <x:c r="F21" s="17" t="str">
        <x:v>Scripts presentes; visión y volumen simulados</x:v>
      </x:c>
      <x:c r="G21" s="17" t="str">
        <x:v>Alejandro Fuentes</x:v>
      </x:c>
      <x:c r="H21" s="17" t="str">
        <x:v>OpenCV importa; visor físico no probado y función devuelve 85.</x:v>
      </x:c>
      <x:c r="I21" s="17" t="str">
        <x:v>Separar captura de inferencia y corregir contrato de telemetría del visor.</x:v>
      </x:c>
      <x:c r="J21" s="17" t="str">
        <x:v>Ventana original futura; sin aceptación anticipada</x:v>
      </x:c>
      <x:c r="K21" s="17" t="str">
        <x:v>19/10/2026</x:v>
      </x:c>
    </x:row>
    <x:row r="22" ht="40" customHeight="1">
      <x:c r="A22" s="14" t="str">
        <x:v>Semana 17</x:v>
      </x:c>
      <x:c r="B22" s="14" t="str">
        <x:v>04/12/2026</x:v>
      </x:c>
      <x:c r="C22" s="14" t="str">
        <x:v>11/12/2026</x:v>
      </x:c>
      <x:c r="D22" s="14" t="str">
        <x:v>Fase 4: IA (Cámaras)</x:v>
      </x:c>
      <x:c r="E22" s="14" t="str">
        <x:v>Integración de la IA con el módulo de inventario ERP</x:v>
      </x:c>
      <x:c r="F22" s="14" t="str">
        <x:v>Pendiente sin integración IA/inventario</x:v>
      </x:c>
      <x:c r="G22" s="14" t="str">
        <x:v>Alejandro Fuentes</x:v>
      </x:c>
      <x:c r="H22" s="14" t="str">
        <x:v>No hay inventario ni modelo real o algoritmo de cruce peso/volumen.</x:v>
      </x:c>
      <x:c r="I22" s="14" t="str">
        <x:v>Reevaluar dependencias y alcance, sin declarar integración por la pantalla.</x:v>
      </x:c>
      <x:c r="J22" s="14" t="str">
        <x:v>Ventana original futura; sin aceptación anticipada</x:v>
      </x:c>
      <x:c r="K22" s="14" t="str">
        <x:v>19/10/2026</x:v>
      </x:c>
    </x:row>
    <x:row r="23" ht="40" customHeight="1">
      <x:c r="A23" s="17" t="str">
        <x:v>Semana 18</x:v>
      </x:c>
      <x:c r="B23" s="17" t="str">
        <x:v>11/12/2026</x:v>
      </x:c>
      <x:c r="C23" s="17" t="str">
        <x:v>18/12/2026</x:v>
      </x:c>
      <x:c r="D23" s="17" t="str">
        <x:v>Fase 5: Cierre</x:v>
      </x:c>
      <x:c r="E23" s="17" t="str">
        <x:v>Pruebas de Integración Generales y Entrega Final de Tesis</x:v>
      </x:c>
      <x:c r="F23" s="17" t="str">
        <x:v>Pruebas locales parciales; entrega final pendiente</x:v>
      </x:c>
      <x:c r="G23" s="17" t="str">
        <x:v>Dante Allendes</x:v>
      </x:c>
      <x:c r="H23" s="17" t="str">
        <x:v>QA local y documentación disponibles; faltan videos, UAT e integración real.</x:v>
      </x:c>
      <x:c r="I23" s="17" t="str">
        <x:v>Consolidar anexos, defectos y aceptación o límites explícitos para el cierre.</x:v>
      </x:c>
      <x:c r="J23" s="17" t="str">
        <x:v>Ventana original futura; sin aceptación anticipada</x:v>
      </x:c>
      <x:c r="K23" s="17" t="str">
        <x:v>19/10/2026</x:v>
      </x:c>
    </x:row>
  </x:sheetData>
  <x:pageMargins left="0.7" right="0.7" top="0.75" bottom="0.75" header="0.3" footer="0.3"/>
  <x:tableParts count="1">
    <x:tablePart xmlns:r="http://schemas.openxmlformats.org/officeDocument/2006/relationships" r:id="R3680e65103cd493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10" hidden="0" customWidth="1"/>
  </x:cols>
  <x:sheetData>
    <x:row r="1">
      <x:c r="A1" s="1"/>
      <x:c r="B1" s="1"/>
    </x:row>
    <x:row r="2" ht="28" customHeight="1">
      <x:c r="A2" s="2" t="str">
        <x:v>Criterios del cronograma</x:v>
      </x:c>
      <x:c r="B2" s="1"/>
    </x:row>
    <x:row r="3" ht="22" customHeight="1">
      <x:c r="A3" s="3" t="str">
        <x:v>BraxRecicla | Corte 19/10/2026</x:v>
      </x:c>
      <x:c r="B3" s="1"/>
    </x:row>
    <x:row r="4">
      <x:c r="A4" s="1"/>
      <x:c r="B4" s="1"/>
    </x:row>
    <x:row r="5" ht="34" customHeight="1">
      <x:c r="A5" s="16" t="str">
        <x:v>Concepto</x:v>
      </x:c>
      <x:c r="B5" s="16" t="str">
        <x:v>Criterio</x:v>
      </x:c>
    </x:row>
    <x:row r="6" ht="40" customHeight="1">
      <x:c r="A6" s="14" t="str">
        <x:v>Fuente</x:v>
      </x:c>
      <x:c r="B6" s="14" t="str">
        <x:v>Se utilizan las 18 actividades del CSV actualizado por elección del equipo. El Excel adjunto contiene ejemplos genéricos; sus tareas y porcentajes no se usan como avances reales.</x:v>
      </x:c>
    </x:row>
    <x:row r="7" ht="40" customHeight="1">
      <x:c r="A7" s="17" t="str">
        <x:v>Intervalos</x:v>
      </x:c>
      <x:c r="B7" s="17" t="str">
        <x:v>La duración es fin menos inicio: 7 días transcurridos por fila. Las fechas de viernes compartidas se conservan como límites de los intervalos.</x:v>
      </x:c>
    </x:row>
    <x:row r="8" ht="40" customHeight="1">
      <x:c r="A8" s="14" t="str">
        <x:v>Avance</x:v>
      </x:c>
      <x:c r="B8" s="14" t="str">
        <x:v>No se asignan porcentajes sin ponderación y aceptación acordadas. Los estados son los documentados al corte.</x:v>
      </x:c>
    </x:row>
    <x:row r="9" ht="26" customHeight="1">
      <x:c r="A9" s="17" t="str">
        <x:v>Gráfico</x:v>
      </x:c>
      <x:c r="B9" s="17" t="str">
        <x:v>Las barras representan planificación original, no ejecución ni cumplimiento.</x:v>
      </x:c>
    </x:row>
    <x:row r="10" ht="26" customHeight="1">
      <x:c r="A10" s="14" t="str">
        <x:v>Responsables</x:v>
      </x:c>
      <x:c r="B10" s="14" t="str">
        <x:v>Asignaciones propuestas en los documentos actualizados; requieren ratificación del equipo.</x:v>
      </x:c>
    </x:row>
    <x:row r="11" ht="26" customHeight="1">
      <x:c r="A11" s="17" t="str">
        <x:v>Ajustes</x:v>
      </x:c>
      <x:c r="B11" s="17" t="str">
        <x:v>Se mantienen sin nueva fecha aprobada. El detalle y los límites están en Seguimiento.</x:v>
      </x:c>
    </x:row>
  </x:sheetData>
  <x:pageMargins left="0.7" right="0.7" top="0.75" bottom="0.75" header="0.3" footer="0.3"/>
  <x:tableParts count="1">
    <x:tablePart xmlns:r="http://schemas.openxmlformats.org/officeDocument/2006/relationships" r:id="R0de71c45445b4c00"/>
  </x:tableParts>
</x:worksheet>
</file>